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Global Overview" sheetId="2" state="visible" r:id="rId4"/>
    <sheet name="Country Deep Dive" sheetId="3" state="visible" r:id="rId5"/>
    <sheet name="Data" sheetId="4" state="visible" r:id="rId6"/>
    <sheet name="CountryMeta" sheetId="5" state="visible" r:id="rId7"/>
    <sheet name="Lookups" sheetId="6" state="hidden" r:id="rId8"/>
    <sheet name="Calc_T1" sheetId="7" state="hidden" r:id="rId9"/>
    <sheet name="Calc_T2" sheetId="8" state="hidden" r:id="rId10"/>
  </sheets>
  <definedNames>
    <definedName function="false" hidden="false" name="T1_Income" vbProcedure="false">'Global Overview'!$F$5</definedName>
    <definedName function="false" hidden="false" name="T1_Region" vbProcedure="false">'Global Overview'!$C$5</definedName>
    <definedName function="false" hidden="false" name="T1_Year" vbProcedure="false">'Global Overview'!$I$5</definedName>
    <definedName function="false" hidden="false" name="T2_Country" vbProcedure="false">'Country Deep Dive'!$C$5</definedName>
    <definedName function="false" hidden="false" name="T2_EndYear" vbProcedure="false">'Country Deep Dive'!$I$5</definedName>
    <definedName function="false" hidden="false" name="T2_StartYear" vbProcedure="false">'Country Deep Dive'!$F$5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<sst xmlns="http://schemas.openxmlformats.org/spreadsheetml/2006/main" count="2396" uniqueCount="190">
  <si>
    <t xml:space="preserve">Sovereign Compliance &amp; Risk Analysis Dashboard</t>
  </si>
  <si>
    <t xml:space="preserve">How this workbook is built, and where it departs from the original blueprint</t>
  </si>
  <si>
    <t xml:space="preserve">How to use it</t>
  </si>
  <si>
    <t xml:space="preserve">Go to the "Global Overview" or "Country Deep Dive" tab and change the yellow filter cells (they are data-validation dropdowns, not typed text) to update every KPI, table and chart on that tab instantly.</t>
  </si>
  <si>
    <t xml:space="preserve">Two deliberate departures from the blueprint (Section 3-4)</t>
  </si>
  <si>
    <t xml:space="preserve">1. Global Risk Heatmap -&gt; Country Risk Ranking table. A native Excel "Filled Map" needs a live Bing Maps geocoding connection that only works inside a real Excel session online, and cannot be produced by an automated script offline. It is replaced with a full 35-country ranking table using the same red-yellow-green 3-colour scale, sorted by Composite Risk Score - the same information, in table form instead of a map.</t>
  </si>
  <si>
    <t xml:space="preserve">2. Excel Slicers -&gt; dropdown filter cells. Native Slicer objects only attach to PivotTables built from a live PivotCache, which openpyxl (the library used to generate this file) cannot create. The filters here are data-validation dropdowns wired to SUMIFS/COUNTIFS/AVERAGEIFS formulas instead, so they drive the same live filtering behaviour - select a value from the dropdown, everything recalculates - just via cell click instead of a floating slicer button.</t>
  </si>
  <si>
    <t xml:space="preserve">Data note - Risk Tier column</t>
  </si>
  <si>
    <t xml:space="preserve">The Risk_Tier column already present in final_cleaned_dataset.csv (Data!L) uses only two labels ("Low Risk" / "Medium Risk") - no row in the source file is tagged "High Risk", even though Composite Risk Score reaches 72.4 (Congo, Dem. Rep., 2017 and 2024), well above the blueprint's own &gt;65 threshold. This means the source file's tiering does not follow the formula defined in Section 2.4 of the blueprint (IF Score &gt; 65 -&gt; "High Risk", 40-65 -&gt; "Medium Risk", &lt; 40 -&gt; "Low Risk"). Rather than silently reuse the source labels, this workbook adds a new formula-driven column, Risk_Tier_Calc (Data!N), that applies the blueprint's exact formula, and every tier-based KPI, chart and conditional format in this workbook (Risk Tier Breakdown donut, High Risk Countries KPI, ranking table colours) uses that column, not the original one. The original Risk_Tier column is left untouched in place for reference/comparison.</t>
  </si>
  <si>
    <t xml:space="preserve">Workbook map</t>
  </si>
  <si>
    <t xml:space="preserve">Global Overview / Country Deep Dive - the two dashboard tabs. Data - the 420-row cleaned dataset as an Excel Table, plus the two computed columns above. CountryMeta - static Country -&gt; Region/Income lookup used by the dropdowns. Lookups, Calc_T1, Calc_T2 - hidden helper sheets holding the filter option lists and the per-country formulas that power the KPIs and charts; right-click any sheet tab and choose Unhide to inspect them.</t>
  </si>
  <si>
    <t xml:space="preserve">Global Overview  |  35 Countries across 7 Regions  |  2013-2024  |  Source: World Bank WGI &amp; WDI</t>
  </si>
  <si>
    <t xml:space="preserve">FILTERS</t>
  </si>
  <si>
    <t xml:space="preserve">Region:</t>
  </si>
  <si>
    <t xml:space="preserve">All Regions</t>
  </si>
  <si>
    <t xml:space="preserve">Income Group:</t>
  </si>
  <si>
    <t xml:space="preserve">All Income Groups</t>
  </si>
  <si>
    <t xml:space="preserve">Year:</t>
  </si>
  <si>
    <t xml:space="preserve">TOTAL COUNTRIES ANALYZED</t>
  </si>
  <si>
    <t xml:space="preserve">AVERAGE GLOBAL RISK SCORE</t>
  </si>
  <si>
    <t xml:space="preserve">HIGH RISK COUNTRIES (&gt;65)</t>
  </si>
  <si>
    <t xml:space="preserve">SAFEST COUNTRY (LOWEST RISK)</t>
  </si>
  <si>
    <t xml:space="preserve">RISKIEST COUNTRY (HIGHEST RISK)</t>
  </si>
  <si>
    <t xml:space="preserve">MOST IMPROVED  (2013 -&gt; 2024, biggest score decrease)</t>
  </si>
  <si>
    <t xml:space="preserve">MOST DETERIORATED  (2013 -&gt; 2024, biggest score increase)</t>
  </si>
  <si>
    <t xml:space="preserve">COUNTRY RISK RANKING  (sorted by Composite Risk Score, selected year)</t>
  </si>
  <si>
    <t xml:space="preserve">TOP 10 RISKIEST COUNTRIES (selected filters/year)</t>
  </si>
  <si>
    <t xml:space="preserve">Note: Excel Filled Maps require a live Bing Maps connection that cannot be generated offline, so this color-scaled ranking table stands in as the geographic heatmap — same information, table form.</t>
  </si>
  <si>
    <t xml:space="preserve">Rank</t>
  </si>
  <si>
    <t xml:space="preserve">Country</t>
  </si>
  <si>
    <t xml:space="preserve">Region</t>
  </si>
  <si>
    <t xml:space="preserve">Composite Risk Score</t>
  </si>
  <si>
    <t xml:space="preserve">Risk Tier</t>
  </si>
  <si>
    <t xml:space="preserve">Risk Score</t>
  </si>
  <si>
    <t xml:space="preserve">RISK TIER BREAKDOWN (selected filters/year)</t>
  </si>
  <si>
    <t xml:space="preserve">Count</t>
  </si>
  <si>
    <t xml:space="preserve">High Risk</t>
  </si>
  <si>
    <t xml:space="preserve">Medium Risk</t>
  </si>
  <si>
    <t xml:space="preserve">Low Risk</t>
  </si>
  <si>
    <t xml:space="preserve">10-YEAR GLOBAL RISK TREND  (average Composite Risk Score by year, Region/Income filters applied)</t>
  </si>
  <si>
    <t xml:space="preserve">Year</t>
  </si>
  <si>
    <t xml:space="preserve">Avg Composite Risk Score</t>
  </si>
  <si>
    <t xml:space="preserve">Country Deep Dive  |  Select a country to explore its governance profile in detail</t>
  </si>
  <si>
    <t xml:space="preserve">Country:</t>
  </si>
  <si>
    <t xml:space="preserve">India</t>
  </si>
  <si>
    <t xml:space="preserve">Start Year:</t>
  </si>
  <si>
    <t xml:space="preserve">End Year:</t>
  </si>
  <si>
    <t xml:space="preserve">SELECTED COUNTRY</t>
  </si>
  <si>
    <t xml:space="preserve">RISK SCORE (END YEAR)</t>
  </si>
  <si>
    <t xml:space="preserve">RISK TIER (END YEAR)</t>
  </si>
  <si>
    <t xml:space="preserve">SCORE CHANGE (START -&gt; END YEAR)</t>
  </si>
  <si>
    <t xml:space="preserve">GOVERNANCE BREAKDOWN (End Year)</t>
  </si>
  <si>
    <t xml:space="preserve">COUNTRY RISK TREND (2013-2024)</t>
  </si>
  <si>
    <t xml:space="preserve">Pillar</t>
  </si>
  <si>
    <t xml:space="preserve">Score</t>
  </si>
  <si>
    <t xml:space="preserve">Control of Corruption</t>
  </si>
  <si>
    <t xml:space="preserve">Rule of Law</t>
  </si>
  <si>
    <t xml:space="preserve">Regulatory Quality</t>
  </si>
  <si>
    <t xml:space="preserve">Political Stability</t>
  </si>
  <si>
    <t xml:space="preserve">REGIONAL PEER COMPARISON (End Year, same region as selected country)</t>
  </si>
  <si>
    <t xml:space="preserve">PILLAR SCORES OVER TIME (2013-2024)</t>
  </si>
  <si>
    <t xml:space="preserve">Corruption</t>
  </si>
  <si>
    <t xml:space="preserve">Reg. Quality</t>
  </si>
  <si>
    <t xml:space="preserve">Pol. Stability</t>
  </si>
  <si>
    <t xml:space="preserve">DETAILED COUNTRY TABLE  (all years, selected country)</t>
  </si>
  <si>
    <t xml:space="preserve">Governance Avg</t>
  </si>
  <si>
    <t xml:space="preserve">Country Name</t>
  </si>
  <si>
    <t xml:space="preserve">Country Code</t>
  </si>
  <si>
    <t xml:space="preserve">Income_Group</t>
  </si>
  <si>
    <t xml:space="preserve">Control_of_Corruption</t>
  </si>
  <si>
    <t xml:space="preserve">Rule_of_Law</t>
  </si>
  <si>
    <t xml:space="preserve">Regulatory_Quality</t>
  </si>
  <si>
    <t xml:space="preserve">Political_Stability</t>
  </si>
  <si>
    <t xml:space="preserve">Governance_Avg</t>
  </si>
  <si>
    <t xml:space="preserve">Composite_Risk_Score</t>
  </si>
  <si>
    <t xml:space="preserve">Risk_Tier</t>
  </si>
  <si>
    <t xml:space="preserve">GDP_per_Capita_USD</t>
  </si>
  <si>
    <t xml:space="preserve">Risk_Tier_Calc</t>
  </si>
  <si>
    <t xml:space="preserve">Match_RegionIncome_T1</t>
  </si>
  <si>
    <t xml:space="preserve">Argentina</t>
  </si>
  <si>
    <t xml:space="preserve">ARG</t>
  </si>
  <si>
    <t xml:space="preserve">Latin America &amp; Caribbean</t>
  </si>
  <si>
    <t xml:space="preserve">Upper middle income</t>
  </si>
  <si>
    <t xml:space="preserve">Australia</t>
  </si>
  <si>
    <t xml:space="preserve">AUS</t>
  </si>
  <si>
    <t xml:space="preserve">East Asia &amp; Pacific</t>
  </si>
  <si>
    <t xml:space="preserve">High income</t>
  </si>
  <si>
    <t xml:space="preserve">Bangladesh</t>
  </si>
  <si>
    <t xml:space="preserve">BGD</t>
  </si>
  <si>
    <t xml:space="preserve">South Asia</t>
  </si>
  <si>
    <t xml:space="preserve">Lower middle income</t>
  </si>
  <si>
    <t xml:space="preserve">Brazil</t>
  </si>
  <si>
    <t xml:space="preserve">BRA</t>
  </si>
  <si>
    <t xml:space="preserve">Canada</t>
  </si>
  <si>
    <t xml:space="preserve">CAN</t>
  </si>
  <si>
    <t xml:space="preserve">North America</t>
  </si>
  <si>
    <t xml:space="preserve">Chile</t>
  </si>
  <si>
    <t xml:space="preserve">CHL</t>
  </si>
  <si>
    <t xml:space="preserve">China</t>
  </si>
  <si>
    <t xml:space="preserve">CHN</t>
  </si>
  <si>
    <t xml:space="preserve">Colombia</t>
  </si>
  <si>
    <t xml:space="preserve">COL</t>
  </si>
  <si>
    <t xml:space="preserve">Congo, Dem. Rep.</t>
  </si>
  <si>
    <t xml:space="preserve">COD</t>
  </si>
  <si>
    <t xml:space="preserve">Sub-Saharan Africa</t>
  </si>
  <si>
    <t xml:space="preserve">Low income</t>
  </si>
  <si>
    <t xml:space="preserve">Egypt, Arab Rep.</t>
  </si>
  <si>
    <t xml:space="preserve">EGY</t>
  </si>
  <si>
    <t xml:space="preserve">Middle East &amp; North Africa</t>
  </si>
  <si>
    <t xml:space="preserve">Ethiopia</t>
  </si>
  <si>
    <t xml:space="preserve">ETH</t>
  </si>
  <si>
    <t xml:space="preserve">France</t>
  </si>
  <si>
    <t xml:space="preserve">FRA</t>
  </si>
  <si>
    <t xml:space="preserve">Europe &amp; Central Asia</t>
  </si>
  <si>
    <t xml:space="preserve">Georgia</t>
  </si>
  <si>
    <t xml:space="preserve">GEO</t>
  </si>
  <si>
    <t xml:space="preserve">Germany</t>
  </si>
  <si>
    <t xml:space="preserve">DEU</t>
  </si>
  <si>
    <t xml:space="preserve">Greece</t>
  </si>
  <si>
    <t xml:space="preserve">GRC</t>
  </si>
  <si>
    <t xml:space="preserve">IND</t>
  </si>
  <si>
    <t xml:space="preserve">Indonesia</t>
  </si>
  <si>
    <t xml:space="preserve">IDN</t>
  </si>
  <si>
    <t xml:space="preserve">Iran, Islamic Rep.</t>
  </si>
  <si>
    <t xml:space="preserve">IRN</t>
  </si>
  <si>
    <t xml:space="preserve">Italy</t>
  </si>
  <si>
    <t xml:space="preserve">ITA</t>
  </si>
  <si>
    <t xml:space="preserve">Japan</t>
  </si>
  <si>
    <t xml:space="preserve">JPN</t>
  </si>
  <si>
    <t xml:space="preserve">Kazakhstan</t>
  </si>
  <si>
    <t xml:space="preserve">KAZ</t>
  </si>
  <si>
    <t xml:space="preserve">Kenya</t>
  </si>
  <si>
    <t xml:space="preserve">KEN</t>
  </si>
  <si>
    <t xml:space="preserve">Mexico</t>
  </si>
  <si>
    <t xml:space="preserve">MEX</t>
  </si>
  <si>
    <t xml:space="preserve">Nigeria</t>
  </si>
  <si>
    <t xml:space="preserve">NGA</t>
  </si>
  <si>
    <t xml:space="preserve">Pakistan</t>
  </si>
  <si>
    <t xml:space="preserve">PAK</t>
  </si>
  <si>
    <t xml:space="preserve">Philippines</t>
  </si>
  <si>
    <t xml:space="preserve">PHL</t>
  </si>
  <si>
    <t xml:space="preserve">Poland</t>
  </si>
  <si>
    <t xml:space="preserve">POL</t>
  </si>
  <si>
    <t xml:space="preserve">Russian Federation</t>
  </si>
  <si>
    <t xml:space="preserve">RUS</t>
  </si>
  <si>
    <t xml:space="preserve">Saudi Arabia</t>
  </si>
  <si>
    <t xml:space="preserve">SAU</t>
  </si>
  <si>
    <t xml:space="preserve">South Africa</t>
  </si>
  <si>
    <t xml:space="preserve">ZAF</t>
  </si>
  <si>
    <t xml:space="preserve">Sri Lanka</t>
  </si>
  <si>
    <t xml:space="preserve">LKA</t>
  </si>
  <si>
    <t xml:space="preserve">Turkiye</t>
  </si>
  <si>
    <t xml:space="preserve">TUR</t>
  </si>
  <si>
    <t xml:space="preserve">United Arab Emirates</t>
  </si>
  <si>
    <t xml:space="preserve">ARE</t>
  </si>
  <si>
    <t xml:space="preserve">United Kingdom</t>
  </si>
  <si>
    <t xml:space="preserve">GBR</t>
  </si>
  <si>
    <t xml:space="preserve">United States</t>
  </si>
  <si>
    <t xml:space="preserve">USA</t>
  </si>
  <si>
    <t xml:space="preserve">Regions</t>
  </si>
  <si>
    <t xml:space="preserve">Income Groups</t>
  </si>
  <si>
    <t xml:space="preserve">Years</t>
  </si>
  <si>
    <t xml:space="preserve">IncomeGroup</t>
  </si>
  <si>
    <t xml:space="preserve">Included</t>
  </si>
  <si>
    <t xml:space="preserve">ScoreYear</t>
  </si>
  <si>
    <t xml:space="preserve">GDPYear</t>
  </si>
  <si>
    <t xml:space="preserve">Score2013</t>
  </si>
  <si>
    <t xml:space="preserve">Score2024</t>
  </si>
  <si>
    <t xml:space="preserve">Change_13_24</t>
  </si>
  <si>
    <t xml:space="preserve">Tier</t>
  </si>
  <si>
    <t xml:space="preserve">IncludedScore</t>
  </si>
  <si>
    <t xml:space="preserve">IncludedChange</t>
  </si>
  <si>
    <t xml:space="preserve">RankDesc</t>
  </si>
  <si>
    <t xml:space="preserve">X_East Asia &amp; </t>
  </si>
  <si>
    <t xml:space="preserve">Y_East Asia &amp; </t>
  </si>
  <si>
    <t xml:space="preserve">X_Europe &amp; Cen</t>
  </si>
  <si>
    <t xml:space="preserve">Y_Europe &amp; Cen</t>
  </si>
  <si>
    <t xml:space="preserve">X_Latin Americ</t>
  </si>
  <si>
    <t xml:space="preserve">Y_Latin Americ</t>
  </si>
  <si>
    <t xml:space="preserve">X_Middle East </t>
  </si>
  <si>
    <t xml:space="preserve">Y_Middle East </t>
  </si>
  <si>
    <t xml:space="preserve">X_North Americ</t>
  </si>
  <si>
    <t xml:space="preserve">Y_North Americ</t>
  </si>
  <si>
    <t xml:space="preserve">X_South Asia</t>
  </si>
  <si>
    <t xml:space="preserve">Y_South Asia</t>
  </si>
  <si>
    <t xml:space="preserve">X_Sub-Saharan </t>
  </si>
  <si>
    <t xml:space="preserve">Y_Sub-Saharan </t>
  </si>
  <si>
    <t xml:space="preserve">ScoreEndYear</t>
  </si>
  <si>
    <t xml:space="preserve">RegionRank</t>
  </si>
  <si>
    <t xml:space="preserve">SelectedRegion -&gt;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</si>
</sst>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AF1F8"/>
      </patternFill>
    </fill>
    <fill>
      <patternFill patternType="solid">
        <fgColor rgb="FF2E75B6"/>
        <bgColor rgb="FF4472C4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993366"/>
      <rgbColor rgb="FFFFF2CC"/>
      <rgbColor rgb="FFEAF1F8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C99"/>
      <rgbColor rgb="FF4472C4"/>
      <rgbColor rgb="FF5B9BD5"/>
      <rgbColor rgb="FF70AD47"/>
      <rgbColor rgb="FFFFC000"/>
      <rgbColor rgb="FFFF9900"/>
      <rgbColor rgb="FFED7D31"/>
      <rgbColor rgb="FF595959"/>
      <rgbColor rgb="FFA5A5A5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Riskiest Countries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'Global Overview'!K16</c:f>
              <c:strCache>
                <c:ptCount val="1"/>
                <c:pt idx="0">
                  <c:v>Risk Score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'Global Overview'!$J$17:$J$26</c:f>
              <c:strCache>
                <c:ptCount val="10"/>
                <c:pt idx="0">
                  <c:v>Congo, Dem. Rep.</c:v>
                </c:pt>
                <c:pt idx="1">
                  <c:v>Iran, Islamic Rep.</c:v>
                </c:pt>
                <c:pt idx="2">
                  <c:v>Pakistan</c:v>
                </c:pt>
                <c:pt idx="3">
                  <c:v>Nigeria</c:v>
                </c:pt>
                <c:pt idx="4">
                  <c:v>Bangladesh</c:v>
                </c:pt>
                <c:pt idx="5">
                  <c:v>Ethiopia</c:v>
                </c:pt>
                <c:pt idx="6">
                  <c:v>Russian Federation</c:v>
                </c:pt>
                <c:pt idx="7">
                  <c:v>Egypt, Arab Rep.</c:v>
                </c:pt>
                <c:pt idx="8">
                  <c:v>Mexico</c:v>
                </c:pt>
                <c:pt idx="9">
                  <c:v>Kenya</c:v>
                </c:pt>
              </c:strCache>
            </c:strRef>
          </c:cat>
          <c:val>
            <c:numRef>
              <c:f>'Global Overview'!$K$17:$K$26</c:f>
              <c:numCache>
                <c:formatCode>General</c:formatCode>
                <c:ptCount val="10"/>
                <c:pt idx="0">
                  <c:v>72.39</c:v>
                </c:pt>
                <c:pt idx="1">
                  <c:v>67.44</c:v>
                </c:pt>
                <c:pt idx="2">
                  <c:v>65.31</c:v>
                </c:pt>
                <c:pt idx="3">
                  <c:v>64.63</c:v>
                </c:pt>
                <c:pt idx="4">
                  <c:v>63.31</c:v>
                </c:pt>
                <c:pt idx="5">
                  <c:v>61.67</c:v>
                </c:pt>
                <c:pt idx="6">
                  <c:v>61.16</c:v>
                </c:pt>
                <c:pt idx="7">
                  <c:v>57.17</c:v>
                </c:pt>
                <c:pt idx="8">
                  <c:v>57.16</c:v>
                </c:pt>
                <c:pt idx="9">
                  <c:v>56.77</c:v>
                </c:pt>
              </c:numCache>
            </c:numRef>
          </c:val>
        </c:ser>
        <c:gapWidth val="150"/>
        <c:overlap val="0"/>
        <c:axId val="6785589"/>
        <c:axId val="42051393"/>
      </c:barChart>
      <c:catAx>
        <c:axId val="678558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Composite Risk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51393"/>
        <c:crosses val="autoZero"/>
        <c:auto val="1"/>
        <c:lblAlgn val="ctr"/>
        <c:lblOffset val="100"/>
        <c:noMultiLvlLbl val="0"/>
      </c:catAx>
      <c:valAx>
        <c:axId val="420513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55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Tier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'Global Overview'!J29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c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70ad4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'Global Overview'!$I$30:$I$32</c:f>
              <c:strCache>
                <c:ptCount val="3"/>
                <c:pt idx="0">
                  <c:v>High Risk</c:v>
                </c:pt>
                <c:pt idx="1">
                  <c:v>Medium Risk</c:v>
                </c:pt>
                <c:pt idx="2">
                  <c:v>Low Risk</c:v>
                </c:pt>
              </c:strCache>
            </c:strRef>
          </c:cat>
          <c:val>
            <c:numRef>
              <c:f>'Global Overview'!$J$30:$J$32</c:f>
              <c:numCache>
                <c:formatCode>General</c:formatCode>
                <c:ptCount val="3"/>
                <c:pt idx="0">
                  <c:v>3</c:v>
                </c:pt>
                <c:pt idx="1">
                  <c:v>19</c:v>
                </c:pt>
                <c:pt idx="2">
                  <c:v>13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Wealth vs. Risk (GDP per Capita vs. Composite Risk Score)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"East Asia &amp; Pacific"</c:f>
              <c:strCache>
                <c:ptCount val="1"/>
                <c:pt idx="0">
                  <c:v>East Asia &amp; Pacific</c:v>
                </c:pt>
              </c:strCache>
            </c:strRef>
          </c:tx>
          <c:spPr>
            <a:solidFill>
              <a:srgbClr val="4472c4"/>
            </a:solidFill>
            <a:ln w="47520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Calc_T1!$N$2:$N$36</c:f>
              <c:numCache>
                <c:formatCode>General</c:formatCode>
                <c:ptCount val="35"/>
                <c:pt idx="1">
                  <c:v>64609.99</c:v>
                </c:pt>
                <c:pt idx="6">
                  <c:v>13293.12</c:v>
                </c:pt>
                <c:pt idx="16">
                  <c:v>4925.44</c:v>
                </c:pt>
                <c:pt idx="19">
                  <c:v>33797.1</c:v>
                </c:pt>
                <c:pt idx="25">
                  <c:v>3985.29</c:v>
                </c:pt>
              </c:numCache>
            </c:numRef>
          </c:xVal>
          <c:yVal>
            <c:numRef>
              <c:f>Calc_T1!$O$2:$O$36</c:f>
              <c:numCache>
                <c:formatCode>General</c:formatCode>
                <c:ptCount val="35"/>
                <c:pt idx="1">
                  <c:v>17.73</c:v>
                </c:pt>
                <c:pt idx="6">
                  <c:v>46.59</c:v>
                </c:pt>
                <c:pt idx="16">
                  <c:v>49.36</c:v>
                </c:pt>
                <c:pt idx="19">
                  <c:v>20.15</c:v>
                </c:pt>
                <c:pt idx="25">
                  <c:v>51.99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"Europe &amp; Central Asia"</c:f>
              <c:strCache>
                <c:ptCount val="1"/>
                <c:pt idx="0">
                  <c:v>Europe &amp; Central Asia</c:v>
                </c:pt>
              </c:strCache>
            </c:strRef>
          </c:tx>
          <c:spPr>
            <a:solidFill>
              <a:srgbClr val="ed7d31"/>
            </a:solidFill>
            <a:ln w="47520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Calc_T1!$P$2:$P$36</c:f>
              <c:numCache>
                <c:formatCode>General</c:formatCode>
                <c:ptCount val="35"/>
                <c:pt idx="11">
                  <c:v>46103.08</c:v>
                </c:pt>
                <c:pt idx="12">
                  <c:v>8967.68</c:v>
                </c:pt>
                <c:pt idx="13">
                  <c:v>56103.73</c:v>
                </c:pt>
                <c:pt idx="14">
                  <c:v>24626.15</c:v>
                </c:pt>
                <c:pt idx="18">
                  <c:v>40429.62</c:v>
                </c:pt>
                <c:pt idx="20">
                  <c:v>14154.63</c:v>
                </c:pt>
                <c:pt idx="26">
                  <c:v>25103.57</c:v>
                </c:pt>
                <c:pt idx="27">
                  <c:v>14961.9</c:v>
                </c:pt>
                <c:pt idx="31">
                  <c:v>15892.72</c:v>
                </c:pt>
                <c:pt idx="33">
                  <c:v>53341.31</c:v>
                </c:pt>
              </c:numCache>
            </c:numRef>
          </c:xVal>
          <c:yVal>
            <c:numRef>
              <c:f>Calc_T1!$Q$2:$Q$36</c:f>
              <c:numCache>
                <c:formatCode>General</c:formatCode>
                <c:ptCount val="35"/>
                <c:pt idx="11">
                  <c:v>29.74</c:v>
                </c:pt>
                <c:pt idx="12">
                  <c:v>41.09</c:v>
                </c:pt>
                <c:pt idx="13">
                  <c:v>21.2</c:v>
                </c:pt>
                <c:pt idx="14">
                  <c:v>38.32</c:v>
                </c:pt>
                <c:pt idx="18">
                  <c:v>34.3</c:v>
                </c:pt>
                <c:pt idx="20">
                  <c:v>46.61</c:v>
                </c:pt>
                <c:pt idx="26">
                  <c:v>32.27</c:v>
                </c:pt>
                <c:pt idx="27">
                  <c:v>61.16</c:v>
                </c:pt>
                <c:pt idx="31">
                  <c:v>55.06</c:v>
                </c:pt>
                <c:pt idx="33">
                  <c:v>23.44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"Latin America &amp; Caribbean"</c:f>
              <c:strCache>
                <c:ptCount val="1"/>
                <c:pt idx="0">
                  <c:v>Latin America &amp; Caribbean</c:v>
                </c:pt>
              </c:strCache>
            </c:strRef>
          </c:tx>
          <c:spPr>
            <a:solidFill>
              <a:srgbClr val="a5a5a5"/>
            </a:solidFill>
            <a:ln w="47520">
              <a:noFill/>
            </a:ln>
          </c:spPr>
          <c:marker>
            <c:symbol val="circle"/>
            <c:size val="6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Calc_T1!$R$2:$R$36</c:f>
              <c:numCache>
                <c:formatCode>General</c:formatCode>
                <c:ptCount val="35"/>
                <c:pt idx="0">
                  <c:v>13969.78</c:v>
                </c:pt>
                <c:pt idx="3">
                  <c:v>10310.55</c:v>
                </c:pt>
                <c:pt idx="5">
                  <c:v>16658.97</c:v>
                </c:pt>
                <c:pt idx="7">
                  <c:v>7951.09</c:v>
                </c:pt>
                <c:pt idx="22">
                  <c:v>13988.04</c:v>
                </c:pt>
              </c:numCache>
            </c:numRef>
          </c:xVal>
          <c:yVal>
            <c:numRef>
              <c:f>Calc_T1!$S$2:$S$36</c:f>
              <c:numCache>
                <c:formatCode>General</c:formatCode>
                <c:ptCount val="35"/>
                <c:pt idx="0">
                  <c:v>47.99</c:v>
                </c:pt>
                <c:pt idx="3">
                  <c:v>50.98</c:v>
                </c:pt>
                <c:pt idx="5">
                  <c:v>31.44</c:v>
                </c:pt>
                <c:pt idx="7">
                  <c:v>51.59</c:v>
                </c:pt>
                <c:pt idx="22">
                  <c:v>57.16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"Middle East &amp; North Africa"</c:f>
              <c:strCache>
                <c:ptCount val="1"/>
                <c:pt idx="0">
                  <c:v>Middle East &amp; North Africa</c:v>
                </c:pt>
              </c:strCache>
            </c:strRef>
          </c:tx>
          <c:spPr>
            <a:solidFill>
              <a:srgbClr val="ffc000"/>
            </a:solidFill>
            <a:ln w="47520">
              <a:noFill/>
            </a:ln>
          </c:spPr>
          <c:marker>
            <c:symbol val="circle"/>
            <c:size val="6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Calc_T1!$T$2:$T$36</c:f>
              <c:numCache>
                <c:formatCode>General</c:formatCode>
                <c:ptCount val="35"/>
                <c:pt idx="9">
                  <c:v>3338.47</c:v>
                </c:pt>
                <c:pt idx="17">
                  <c:v>5190.17</c:v>
                </c:pt>
                <c:pt idx="28">
                  <c:v>35527.79</c:v>
                </c:pt>
                <c:pt idx="32">
                  <c:v>50273.51</c:v>
                </c:pt>
              </c:numCache>
            </c:numRef>
          </c:xVal>
          <c:yVal>
            <c:numRef>
              <c:f>Calc_T1!$U$2:$U$36</c:f>
              <c:numCache>
                <c:formatCode>General</c:formatCode>
                <c:ptCount val="35"/>
                <c:pt idx="9">
                  <c:v>57.17</c:v>
                </c:pt>
                <c:pt idx="17">
                  <c:v>67.44</c:v>
                </c:pt>
                <c:pt idx="28">
                  <c:v>36.3</c:v>
                </c:pt>
                <c:pt idx="32">
                  <c:v>27.74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"North America"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5b9bd5"/>
            </a:solidFill>
            <a:ln w="47520">
              <a:noFill/>
            </a:ln>
          </c:spPr>
          <c:marker>
            <c:symbol val="circle"/>
            <c:size val="6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Calc_T1!$V$2:$V$36</c:f>
              <c:numCache>
                <c:formatCode>General</c:formatCode>
                <c:ptCount val="35"/>
                <c:pt idx="4">
                  <c:v>55015.71</c:v>
                </c:pt>
                <c:pt idx="34">
                  <c:v>86169.66</c:v>
                </c:pt>
              </c:numCache>
            </c:numRef>
          </c:xVal>
          <c:yVal>
            <c:numRef>
              <c:f>Calc_T1!$W$2:$W$36</c:f>
              <c:numCache>
                <c:formatCode>General</c:formatCode>
                <c:ptCount val="35"/>
                <c:pt idx="4">
                  <c:v>21.14</c:v>
                </c:pt>
                <c:pt idx="34">
                  <c:v>29.04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"South Asia"</c:f>
              <c:strCache>
                <c:ptCount val="1"/>
                <c:pt idx="0">
                  <c:v>South Asia</c:v>
                </c:pt>
              </c:strCache>
            </c:strRef>
          </c:tx>
          <c:spPr>
            <a:solidFill>
              <a:srgbClr val="70ad47"/>
            </a:solidFill>
            <a:ln w="47520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Calc_T1!$X$2:$X$36</c:f>
              <c:numCache>
                <c:formatCode>General</c:formatCode>
                <c:ptCount val="35"/>
                <c:pt idx="2">
                  <c:v>2593.42</c:v>
                </c:pt>
                <c:pt idx="15">
                  <c:v>2591.99</c:v>
                </c:pt>
                <c:pt idx="24">
                  <c:v>1479.48</c:v>
                </c:pt>
                <c:pt idx="30">
                  <c:v>4545.36</c:v>
                </c:pt>
              </c:numCache>
            </c:numRef>
          </c:xVal>
          <c:yVal>
            <c:numRef>
              <c:f>Calc_T1!$Y$2:$Y$36</c:f>
              <c:numCache>
                <c:formatCode>General</c:formatCode>
                <c:ptCount val="35"/>
                <c:pt idx="2">
                  <c:v>63.31</c:v>
                </c:pt>
                <c:pt idx="15">
                  <c:v>49</c:v>
                </c:pt>
                <c:pt idx="24">
                  <c:v>65.31</c:v>
                </c:pt>
                <c:pt idx="30">
                  <c:v>49.34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"Sub-Saharan Africa"</c:f>
              <c:strCache>
                <c:ptCount val="1"/>
                <c:pt idx="0">
                  <c:v>Sub-Saharan Africa</c:v>
                </c:pt>
              </c:strCache>
            </c:strRef>
          </c:tx>
          <c:spPr>
            <a:solidFill>
              <a:srgbClr val="c00000"/>
            </a:solidFill>
            <a:ln w="47520"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Calc_T1!$Z$2:$Z$36</c:f>
              <c:numCache>
                <c:formatCode>General</c:formatCode>
                <c:ptCount val="35"/>
                <c:pt idx="8">
                  <c:v>692.89</c:v>
                </c:pt>
                <c:pt idx="10">
                  <c:v>1133.88</c:v>
                </c:pt>
                <c:pt idx="21">
                  <c:v>2133.46</c:v>
                </c:pt>
                <c:pt idx="23">
                  <c:v>1084.16</c:v>
                </c:pt>
                <c:pt idx="29">
                  <c:v>6267.19</c:v>
                </c:pt>
              </c:numCache>
            </c:numRef>
          </c:xVal>
          <c:yVal>
            <c:numRef>
              <c:f>Calc_T1!$AA$2:$AA$36</c:f>
              <c:numCache>
                <c:formatCode>General</c:formatCode>
                <c:ptCount val="35"/>
                <c:pt idx="8">
                  <c:v>72.39</c:v>
                </c:pt>
                <c:pt idx="10">
                  <c:v>61.67</c:v>
                </c:pt>
                <c:pt idx="21">
                  <c:v>56.77</c:v>
                </c:pt>
                <c:pt idx="23">
                  <c:v>64.63</c:v>
                </c:pt>
                <c:pt idx="29">
                  <c:v>47.37</c:v>
                </c:pt>
              </c:numCache>
            </c:numRef>
          </c:yVal>
          <c:smooth val="1"/>
        </c:ser>
        <c:axId val="12531067"/>
        <c:axId val="14123328"/>
      </c:scatterChart>
      <c:valAx>
        <c:axId val="1253106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GDP per Capita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23328"/>
        <c:crosses val="autoZero"/>
        <c:crossBetween val="midCat"/>
      </c:valAx>
      <c:valAx>
        <c:axId val="141233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Composite Risk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3106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10-Year Global Risk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'Global Overview'!C56</c:f>
              <c:strCache>
                <c:ptCount val="1"/>
                <c:pt idx="0">
                  <c:v>Avg Composite Risk Score</c:v>
                </c:pt>
              </c:strCache>
            </c:strRef>
          </c:tx>
          <c:spPr>
            <a:solidFill>
              <a:srgbClr val="1f4e78"/>
            </a:solidFill>
            <a:ln w="24840">
              <a:solidFill>
                <a:srgbClr val="1f4e78"/>
              </a:solidFill>
              <a:round/>
            </a:ln>
          </c:spPr>
          <c:marker>
            <c:symbol val="circle"/>
            <c:size val="6"/>
            <c:spPr>
              <a:solidFill>
                <a:srgbClr val="1f4e7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'Global Overview'!$B$57:$B$68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'Global Overview'!$C$57:$C$68</c:f>
              <c:numCache>
                <c:formatCode>General</c:formatCode>
                <c:ptCount val="12"/>
                <c:pt idx="0">
                  <c:v>44.66</c:v>
                </c:pt>
                <c:pt idx="1">
                  <c:v>43.95</c:v>
                </c:pt>
                <c:pt idx="2">
                  <c:v>43.81</c:v>
                </c:pt>
                <c:pt idx="3">
                  <c:v>43.64</c:v>
                </c:pt>
                <c:pt idx="4">
                  <c:v>43.67</c:v>
                </c:pt>
                <c:pt idx="5">
                  <c:v>43.52</c:v>
                </c:pt>
                <c:pt idx="6">
                  <c:v>43.54</c:v>
                </c:pt>
                <c:pt idx="7">
                  <c:v>43.91</c:v>
                </c:pt>
                <c:pt idx="8">
                  <c:v>44.18</c:v>
                </c:pt>
                <c:pt idx="9">
                  <c:v>44.56</c:v>
                </c:pt>
                <c:pt idx="10">
                  <c:v>44.58</c:v>
                </c:pt>
                <c:pt idx="11">
                  <c:v>45.05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1117906"/>
        <c:axId val="40150971"/>
      </c:lineChart>
      <c:catAx>
        <c:axId val="911179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50971"/>
        <c:crosses val="autoZero"/>
        <c:auto val="1"/>
        <c:lblAlgn val="ctr"/>
        <c:lblOffset val="100"/>
        <c:noMultiLvlLbl val="0"/>
      </c:catAx>
      <c:valAx>
        <c:axId val="40150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Composite Risk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179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Governance Breakdown (End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'Country Deep Dive'!C13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1f4e78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'Country Deep Dive'!$B$14:$B$17</c:f>
              <c:strCache>
                <c:ptCount val="4"/>
                <c:pt idx="0">
                  <c:v>Control of Corruption</c:v>
                </c:pt>
                <c:pt idx="1">
                  <c:v>Rule of Law</c:v>
                </c:pt>
                <c:pt idx="2">
                  <c:v>Regulatory Quality</c:v>
                </c:pt>
                <c:pt idx="3">
                  <c:v>Political Stability</c:v>
                </c:pt>
              </c:strCache>
            </c:strRef>
          </c:cat>
          <c:val>
            <c:numRef>
              <c:f>'Country Deep Dive'!$C$14:$C$17</c:f>
              <c:numCache>
                <c:formatCode>General</c:formatCode>
                <c:ptCount val="4"/>
                <c:pt idx="0">
                  <c:v>41.88</c:v>
                </c:pt>
                <c:pt idx="1">
                  <c:v>56.29</c:v>
                </c:pt>
                <c:pt idx="2">
                  <c:v>53.35</c:v>
                </c:pt>
                <c:pt idx="3">
                  <c:v>52.47</c:v>
                </c:pt>
              </c:numCache>
            </c:numRef>
          </c:val>
        </c:ser>
        <c:axId val="97830909"/>
        <c:axId val="64748943"/>
      </c:radarChart>
      <c:catAx>
        <c:axId val="978309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48943"/>
        <c:crosses val="autoZero"/>
        <c:auto val="1"/>
        <c:lblAlgn val="ctr"/>
        <c:lblOffset val="100"/>
        <c:noMultiLvlLbl val="0"/>
      </c:catAx>
      <c:valAx>
        <c:axId val="647489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3090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Country Risk Trend (2013-2024)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'Country Deep Dive'!K13</c:f>
              <c:strCache>
                <c:ptCount val="1"/>
                <c:pt idx="0">
                  <c:v>Risk Score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'Country Deep Dive'!$J$14:$J$25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'Country Deep Dive'!$K$14:$K$25</c:f>
              <c:numCache>
                <c:formatCode>General</c:formatCode>
                <c:ptCount val="12"/>
                <c:pt idx="0">
                  <c:v>52.96</c:v>
                </c:pt>
                <c:pt idx="1">
                  <c:v>51.41</c:v>
                </c:pt>
                <c:pt idx="2">
                  <c:v>50.5</c:v>
                </c:pt>
                <c:pt idx="3">
                  <c:v>49.55</c:v>
                </c:pt>
                <c:pt idx="4">
                  <c:v>48.21</c:v>
                </c:pt>
                <c:pt idx="5">
                  <c:v>48.08</c:v>
                </c:pt>
                <c:pt idx="6">
                  <c:v>47.71</c:v>
                </c:pt>
                <c:pt idx="7">
                  <c:v>49</c:v>
                </c:pt>
                <c:pt idx="8">
                  <c:v>49.16</c:v>
                </c:pt>
                <c:pt idx="9">
                  <c:v>49.12</c:v>
                </c:pt>
                <c:pt idx="10">
                  <c:v>49.76</c:v>
                </c:pt>
                <c:pt idx="11">
                  <c:v>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3040044"/>
        <c:axId val="72092897"/>
      </c:lineChart>
      <c:catAx>
        <c:axId val="930400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92897"/>
        <c:crosses val="autoZero"/>
        <c:auto val="1"/>
        <c:lblAlgn val="ctr"/>
        <c:lblOffset val="100"/>
        <c:noMultiLvlLbl val="0"/>
      </c:catAx>
      <c:valAx>
        <c:axId val="720928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Composite Risk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400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Regional Peer Comparison (End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'Country Deep Dive'!D30</c:f>
              <c:strCache>
                <c:ptCount val="1"/>
                <c:pt idx="0">
                  <c:v>Risk Score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'Country Deep Dive'!$C$31:$C$40</c:f>
              <c:strCache>
                <c:ptCount val="10"/>
                <c:pt idx="0">
                  <c:v>Pakistan</c:v>
                </c:pt>
                <c:pt idx="1">
                  <c:v>Bangladesh</c:v>
                </c:pt>
                <c:pt idx="2">
                  <c:v>Sri Lanka</c:v>
                </c:pt>
                <c:pt idx="3">
                  <c:v>India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'Country Deep Dive'!$D$31:$D$40</c:f>
              <c:numCache>
                <c:formatCode>General</c:formatCode>
                <c:ptCount val="10"/>
                <c:pt idx="0">
                  <c:v>65.31</c:v>
                </c:pt>
                <c:pt idx="1">
                  <c:v>63.31</c:v>
                </c:pt>
                <c:pt idx="2">
                  <c:v>49.34</c:v>
                </c:pt>
                <c:pt idx="3">
                  <c:v>49</c:v>
                </c:pt>
              </c:numCache>
            </c:numRef>
          </c:val>
        </c:ser>
        <c:gapWidth val="150"/>
        <c:overlap val="0"/>
        <c:axId val="89001683"/>
        <c:axId val="14411456"/>
      </c:barChart>
      <c:catAx>
        <c:axId val="890016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11456"/>
        <c:crosses val="autoZero"/>
        <c:auto val="1"/>
        <c:lblAlgn val="ctr"/>
        <c:lblOffset val="100"/>
        <c:noMultiLvlLbl val="0"/>
      </c:catAx>
      <c:valAx>
        <c:axId val="144114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Composite Risk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016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Pillar Scores Over Time (2013-2024)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'Country Deep Dive'!K30</c:f>
              <c:strCache>
                <c:ptCount val="1"/>
                <c:pt idx="0">
                  <c:v>Corruption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'Country Deep Dive'!$J$31:$J$42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'Country Deep Dive'!$K$31:$K$42</c:f>
              <c:numCache>
                <c:formatCode>General</c:formatCode>
                <c:ptCount val="12"/>
                <c:pt idx="0">
                  <c:v>38.33</c:v>
                </c:pt>
                <c:pt idx="1">
                  <c:v>39.48</c:v>
                </c:pt>
                <c:pt idx="2">
                  <c:v>40.87</c:v>
                </c:pt>
                <c:pt idx="3">
                  <c:v>42.08</c:v>
                </c:pt>
                <c:pt idx="4">
                  <c:v>43.31</c:v>
                </c:pt>
                <c:pt idx="5">
                  <c:v>43.65</c:v>
                </c:pt>
                <c:pt idx="6">
                  <c:v>43.44</c:v>
                </c:pt>
                <c:pt idx="7">
                  <c:v>42.7</c:v>
                </c:pt>
                <c:pt idx="8">
                  <c:v>41.77</c:v>
                </c:pt>
                <c:pt idx="9">
                  <c:v>41.93</c:v>
                </c:pt>
                <c:pt idx="10">
                  <c:v>41.07</c:v>
                </c:pt>
                <c:pt idx="11">
                  <c:v>41.88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'Country Deep Dive'!L30</c:f>
              <c:strCache>
                <c:ptCount val="1"/>
                <c:pt idx="0">
                  <c:v>Rule of Law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'Country Deep Dive'!$J$31:$J$42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'Country Deep Dive'!$L$31:$L$42</c:f>
              <c:numCache>
                <c:formatCode>General</c:formatCode>
                <c:ptCount val="12"/>
                <c:pt idx="0">
                  <c:v>54.97</c:v>
                </c:pt>
                <c:pt idx="1">
                  <c:v>54.11</c:v>
                </c:pt>
                <c:pt idx="2">
                  <c:v>54.6</c:v>
                </c:pt>
                <c:pt idx="3">
                  <c:v>55.55</c:v>
                </c:pt>
                <c:pt idx="4">
                  <c:v>56.28</c:v>
                </c:pt>
                <c:pt idx="5">
                  <c:v>57.31</c:v>
                </c:pt>
                <c:pt idx="6">
                  <c:v>56.62</c:v>
                </c:pt>
                <c:pt idx="7">
                  <c:v>55.19</c:v>
                </c:pt>
                <c:pt idx="8">
                  <c:v>53.8</c:v>
                </c:pt>
                <c:pt idx="9">
                  <c:v>55.06</c:v>
                </c:pt>
                <c:pt idx="10">
                  <c:v>55.45</c:v>
                </c:pt>
                <c:pt idx="11">
                  <c:v>56.29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'Country Deep Dive'!M30</c:f>
              <c:strCache>
                <c:ptCount val="1"/>
                <c:pt idx="0">
                  <c:v>Reg. Quality</c:v>
                </c:pt>
              </c:strCache>
            </c:strRef>
          </c:tx>
          <c:spPr>
            <a:solidFill>
              <a:srgbClr val="70ad47"/>
            </a:solidFill>
            <a:ln w="201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'Country Deep Dive'!$J$31:$J$42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'Country Deep Dive'!$M$31:$M$42</c:f>
              <c:numCache>
                <c:formatCode>General</c:formatCode>
                <c:ptCount val="12"/>
                <c:pt idx="0">
                  <c:v>48.99</c:v>
                </c:pt>
                <c:pt idx="1">
                  <c:v>48.86</c:v>
                </c:pt>
                <c:pt idx="2">
                  <c:v>49.65</c:v>
                </c:pt>
                <c:pt idx="3">
                  <c:v>50.86</c:v>
                </c:pt>
                <c:pt idx="4">
                  <c:v>51.46</c:v>
                </c:pt>
                <c:pt idx="5">
                  <c:v>52.41</c:v>
                </c:pt>
                <c:pt idx="6">
                  <c:v>53.32</c:v>
                </c:pt>
                <c:pt idx="7">
                  <c:v>52.52</c:v>
                </c:pt>
                <c:pt idx="8">
                  <c:v>52.18</c:v>
                </c:pt>
                <c:pt idx="9">
                  <c:v>53.48</c:v>
                </c:pt>
                <c:pt idx="10">
                  <c:v>52.86</c:v>
                </c:pt>
                <c:pt idx="11">
                  <c:v>53.35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'Country Deep Dive'!N30</c:f>
              <c:strCache>
                <c:ptCount val="1"/>
                <c:pt idx="0">
                  <c:v>Pol. Stability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'Country Deep Dive'!$J$31:$J$42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'Country Deep Dive'!$N$31:$N$42</c:f>
              <c:numCache>
                <c:formatCode>General</c:formatCode>
                <c:ptCount val="12"/>
                <c:pt idx="0">
                  <c:v>45.89</c:v>
                </c:pt>
                <c:pt idx="1">
                  <c:v>51.93</c:v>
                </c:pt>
                <c:pt idx="2">
                  <c:v>52.88</c:v>
                </c:pt>
                <c:pt idx="3">
                  <c:v>53.32</c:v>
                </c:pt>
                <c:pt idx="4">
                  <c:v>56.12</c:v>
                </c:pt>
                <c:pt idx="5">
                  <c:v>54.3</c:v>
                </c:pt>
                <c:pt idx="6">
                  <c:v>55.81</c:v>
                </c:pt>
                <c:pt idx="7">
                  <c:v>53.58</c:v>
                </c:pt>
                <c:pt idx="8">
                  <c:v>55.62</c:v>
                </c:pt>
                <c:pt idx="9">
                  <c:v>53.02</c:v>
                </c:pt>
                <c:pt idx="10">
                  <c:v>51.58</c:v>
                </c:pt>
                <c:pt idx="11">
                  <c:v>52.47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275216"/>
        <c:axId val="74454052"/>
      </c:lineChart>
      <c:catAx>
        <c:axId val="292752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54052"/>
        <c:crosses val="autoZero"/>
        <c:auto val="1"/>
        <c:lblAlgn val="ctr"/>
        <c:lblOffset val="100"/>
        <c:noMultiLvlLbl val="0"/>
      </c:catAx>
      <c:valAx>
        <c:axId val="744540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752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15</xdr:row>
      <xdr:rowOff>0</xdr:rowOff>
    </xdr:from>
    <xdr:to>
      <xdr:col>22</xdr:col>
      <xdr:colOff>1800</xdr:colOff>
      <xdr:row>31</xdr:row>
      <xdr:rowOff>8640</xdr:rowOff>
    </xdr:to>
    <xdr:graphicFrame>
      <xdr:nvGraphicFramePr>
        <xdr:cNvPr id="0" name="Chart 1"/>
        <xdr:cNvGraphicFramePr/>
      </xdr:nvGraphicFramePr>
      <xdr:xfrm>
        <a:off x="10220400" y="3800520"/>
        <a:ext cx="8250480" cy="305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33</xdr:row>
      <xdr:rowOff>0</xdr:rowOff>
    </xdr:from>
    <xdr:to>
      <xdr:col>15</xdr:col>
      <xdr:colOff>36360</xdr:colOff>
      <xdr:row>49</xdr:row>
      <xdr:rowOff>8640</xdr:rowOff>
    </xdr:to>
    <xdr:graphicFrame>
      <xdr:nvGraphicFramePr>
        <xdr:cNvPr id="1" name="Chart 2"/>
        <xdr:cNvGraphicFramePr/>
      </xdr:nvGraphicFramePr>
      <xdr:xfrm>
        <a:off x="6555240" y="7229520"/>
        <a:ext cx="6450480" cy="305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33</xdr:row>
      <xdr:rowOff>0</xdr:rowOff>
    </xdr:from>
    <xdr:to>
      <xdr:col>22</xdr:col>
      <xdr:colOff>361800</xdr:colOff>
      <xdr:row>49</xdr:row>
      <xdr:rowOff>188640</xdr:rowOff>
    </xdr:to>
    <xdr:graphicFrame>
      <xdr:nvGraphicFramePr>
        <xdr:cNvPr id="2" name="Chart 3"/>
        <xdr:cNvGraphicFramePr/>
      </xdr:nvGraphicFramePr>
      <xdr:xfrm>
        <a:off x="10220400" y="7229520"/>
        <a:ext cx="8610480" cy="323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69</xdr:row>
      <xdr:rowOff>0</xdr:rowOff>
    </xdr:from>
    <xdr:to>
      <xdr:col>18</xdr:col>
      <xdr:colOff>401400</xdr:colOff>
      <xdr:row>85</xdr:row>
      <xdr:rowOff>188640</xdr:rowOff>
    </xdr:to>
    <xdr:graphicFrame>
      <xdr:nvGraphicFramePr>
        <xdr:cNvPr id="3" name="Chart 4"/>
        <xdr:cNvGraphicFramePr/>
      </xdr:nvGraphicFramePr>
      <xdr:xfrm>
        <a:off x="141120" y="14087520"/>
        <a:ext cx="15978600" cy="323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12</xdr:row>
      <xdr:rowOff>0</xdr:rowOff>
    </xdr:from>
    <xdr:to>
      <xdr:col>11</xdr:col>
      <xdr:colOff>506520</xdr:colOff>
      <xdr:row>28</xdr:row>
      <xdr:rowOff>10440</xdr:rowOff>
    </xdr:to>
    <xdr:graphicFrame>
      <xdr:nvGraphicFramePr>
        <xdr:cNvPr id="4" name="Chart 1"/>
        <xdr:cNvGraphicFramePr/>
      </xdr:nvGraphicFramePr>
      <xdr:xfrm>
        <a:off x="1973520" y="2705040"/>
        <a:ext cx="783720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12</xdr:row>
      <xdr:rowOff>0</xdr:rowOff>
    </xdr:from>
    <xdr:to>
      <xdr:col>21</xdr:col>
      <xdr:colOff>255240</xdr:colOff>
      <xdr:row>28</xdr:row>
      <xdr:rowOff>10440</xdr:rowOff>
    </xdr:to>
    <xdr:graphicFrame>
      <xdr:nvGraphicFramePr>
        <xdr:cNvPr id="5" name="Chart 2"/>
        <xdr:cNvGraphicFramePr/>
      </xdr:nvGraphicFramePr>
      <xdr:xfrm>
        <a:off x="10220400" y="2705040"/>
        <a:ext cx="789228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29</xdr:row>
      <xdr:rowOff>0</xdr:rowOff>
    </xdr:from>
    <xdr:to>
      <xdr:col>11</xdr:col>
      <xdr:colOff>506520</xdr:colOff>
      <xdr:row>45</xdr:row>
      <xdr:rowOff>10440</xdr:rowOff>
    </xdr:to>
    <xdr:graphicFrame>
      <xdr:nvGraphicFramePr>
        <xdr:cNvPr id="6" name="Chart 3"/>
        <xdr:cNvGraphicFramePr/>
      </xdr:nvGraphicFramePr>
      <xdr:xfrm>
        <a:off x="1973520" y="5943600"/>
        <a:ext cx="783720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29</xdr:row>
      <xdr:rowOff>0</xdr:rowOff>
    </xdr:from>
    <xdr:to>
      <xdr:col>24</xdr:col>
      <xdr:colOff>363600</xdr:colOff>
      <xdr:row>45</xdr:row>
      <xdr:rowOff>10440</xdr:rowOff>
    </xdr:to>
    <xdr:graphicFrame>
      <xdr:nvGraphicFramePr>
        <xdr:cNvPr id="7" name="Chart 4"/>
        <xdr:cNvGraphicFramePr/>
      </xdr:nvGraphicFramePr>
      <xdr:xfrm>
        <a:off x="12052800" y="5943600"/>
        <a:ext cx="800280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iskData" displayName="RiskData" ref="A1:O421" headerRowCount="1" totalsRowCount="0" totalsRowShown="0">
  <autoFilter ref="A1:O421"/>
  <tableColumns count="15">
    <tableColumn id="1" name="Country Name"/>
    <tableColumn id="2" name="Country Code"/>
    <tableColumn id="3" name="Year"/>
    <tableColumn id="4" name="Region"/>
    <tableColumn id="5" name="Income_Group"/>
    <tableColumn id="6" name="Control_of_Corruption"/>
    <tableColumn id="7" name="Rule_of_Law"/>
    <tableColumn id="8" name="Regulatory_Quality"/>
    <tableColumn id="9" name="Political_Stability"/>
    <tableColumn id="10" name="Governance_Avg"/>
    <tableColumn id="11" name="Composite_Risk_Score"/>
    <tableColumn id="12" name="Risk_Tier"/>
    <tableColumn id="13" name="GDP_per_Capita_USD"/>
    <tableColumn id="14" name="Risk_Tier_Calc"/>
    <tableColumn id="15" name="Match_RegionIncome_T1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5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7" customFormat="false" ht="30" hidden="false" customHeight="true" outlineLevel="0" collapsed="false">
      <c r="B7" s="5" t="s">
        <v>3</v>
      </c>
    </row>
    <row r="10" customFormat="false" ht="15" hidden="false" customHeight="true" outlineLevel="0" collapsed="false">
      <c r="B10" s="4" t="s">
        <v>4</v>
      </c>
    </row>
    <row r="12" customFormat="false" ht="60" hidden="false" customHeight="true" outlineLevel="0" collapsed="false">
      <c r="B12" s="5" t="s">
        <v>5</v>
      </c>
    </row>
    <row r="14" customFormat="false" ht="75" hidden="false" customHeight="true" outlineLevel="0" collapsed="false">
      <c r="B14" s="5" t="s">
        <v>6</v>
      </c>
    </row>
    <row r="17" customFormat="false" ht="15" hidden="false" customHeight="true" outlineLevel="0" collapsed="false">
      <c r="B17" s="4" t="s">
        <v>7</v>
      </c>
    </row>
    <row r="19" customFormat="false" ht="135" hidden="false" customHeight="true" outlineLevel="0" collapsed="false">
      <c r="B19" s="5" t="s">
        <v>8</v>
      </c>
    </row>
    <row r="22" customFormat="false" ht="15" hidden="false" customHeight="true" outlineLevel="0" collapsed="false">
      <c r="B22" s="4" t="s">
        <v>9</v>
      </c>
    </row>
    <row r="24" customFormat="false" ht="60" hidden="false" customHeight="true" outlineLevel="0" collapsed="false">
      <c r="B24" s="5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1:S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9" min="2" style="1" width="13"/>
  </cols>
  <sheetData>
    <row r="1" customFormat="false" ht="25.5" hidden="false" customHeight="true" outlineLevel="0" collapsed="false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customFormat="false" ht="15.75" hidden="false" customHeight="true" outlineLevel="0" collapsed="false">
      <c r="B2" s="7" t="s">
        <v>11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4" customFormat="false" ht="15" hidden="false" customHeight="true" outlineLevel="0" collapsed="false">
      <c r="B4" s="8" t="s">
        <v>12</v>
      </c>
    </row>
    <row r="5" customFormat="false" ht="34.5" hidden="false" customHeight="true" outlineLevel="0" collapsed="false">
      <c r="B5" s="9" t="s">
        <v>13</v>
      </c>
      <c r="C5" s="10" t="s">
        <v>14</v>
      </c>
      <c r="E5" s="9" t="s">
        <v>15</v>
      </c>
      <c r="F5" s="10" t="s">
        <v>16</v>
      </c>
      <c r="H5" s="9" t="s">
        <v>17</v>
      </c>
      <c r="I5" s="10" t="n">
        <v>2024</v>
      </c>
    </row>
    <row r="7" customFormat="false" ht="21.75" hidden="false" customHeight="true" outlineLevel="0" collapsed="false">
      <c r="B7" s="11" t="s">
        <v>18</v>
      </c>
      <c r="C7" s="11"/>
      <c r="D7" s="11"/>
      <c r="E7" s="11" t="s">
        <v>19</v>
      </c>
      <c r="F7" s="11"/>
      <c r="G7" s="11"/>
      <c r="H7" s="11" t="s">
        <v>20</v>
      </c>
      <c r="I7" s="11"/>
      <c r="J7" s="11"/>
      <c r="K7" s="11" t="s">
        <v>21</v>
      </c>
      <c r="L7" s="11"/>
      <c r="M7" s="11"/>
    </row>
    <row r="8" customFormat="false" ht="30" hidden="false" customHeight="true" outlineLevel="0" collapsed="false">
      <c r="B8" s="12" t="n">
        <f aca="false">COUNTIF(Calc_T1!$D$2:$D$36,TRUE())</f>
        <v>35</v>
      </c>
      <c r="C8" s="12"/>
      <c r="D8" s="12"/>
      <c r="E8" s="12" t="n">
        <f aca="false">ROUND(AVERAGE(Calc_T1!$K$2:$K$36),1)</f>
        <v>45.1</v>
      </c>
      <c r="F8" s="12"/>
      <c r="G8" s="12"/>
      <c r="H8" s="12" t="n">
        <f aca="false">COUNTIFS(Calc_T1!$D$2:$D$36,TRUE(),Calc_T1!$J$2:$J$36,"High Risk")</f>
        <v>3</v>
      </c>
      <c r="I8" s="12"/>
      <c r="J8" s="12"/>
      <c r="K8" s="12" t="str">
        <f aca="false">IFERROR(INDEX(Calc_T1!$A$2:$A$36,MATCH(MIN(Calc_T1!$K$2:$K$36),Calc_T1!$K$2:$K$36,0)),"n/a")</f>
        <v>Australia</v>
      </c>
      <c r="L8" s="12"/>
      <c r="M8" s="12"/>
    </row>
    <row r="10" customFormat="false" ht="21.75" hidden="false" customHeight="true" outlineLevel="0" collapsed="false">
      <c r="B10" s="11" t="s">
        <v>22</v>
      </c>
      <c r="C10" s="11"/>
      <c r="D10" s="11"/>
      <c r="E10" s="11" t="s">
        <v>23</v>
      </c>
      <c r="F10" s="11"/>
      <c r="G10" s="11"/>
      <c r="H10" s="11"/>
      <c r="I10" s="11" t="s">
        <v>24</v>
      </c>
      <c r="J10" s="11"/>
      <c r="K10" s="11"/>
      <c r="L10" s="11"/>
      <c r="M10" s="11"/>
    </row>
    <row r="11" customFormat="false" ht="30" hidden="false" customHeight="true" outlineLevel="0" collapsed="false">
      <c r="B11" s="12" t="str">
        <f aca="false">IFERROR(INDEX(Calc_T1!$A$2:$A$36,MATCH(MAX(Calc_T1!$K$2:$K$36),Calc_T1!$K$2:$K$36,0)),"n/a")</f>
        <v>Congo, Dem. Rep.</v>
      </c>
      <c r="C11" s="12"/>
      <c r="D11" s="12"/>
      <c r="E11" s="13" t="str">
        <f aca="false">IFERROR(INDEX(Calc_T1!$A$2:$A$36,MATCH(MIN(Calc_T1!$I$2:$I$36),Calc_T1!$I$2:$I$36,0))&amp;"  ("&amp;TEXT(MIN(Calc_T1!$I$2:$I$36),"+0.0;-0.0")&amp;")","n/a")</f>
        <v>Saudi Arabia  (-10.8)</v>
      </c>
      <c r="F11" s="13"/>
      <c r="G11" s="13"/>
      <c r="H11" s="13"/>
      <c r="I11" s="13" t="str">
        <f aca="false">IFERROR(INDEX(Calc_T1!$A$2:$A$36,MATCH(MAX(Calc_T1!$I$2:$I$36),Calc_T1!$I$2:$I$36,0))&amp;"  ("&amp;TEXT(MAX(Calc_T1!$I$2:$I$36),"+0.0;-0.0")&amp;")","n/a")</f>
        <v>Turkiye  (+9.2)</v>
      </c>
      <c r="J11" s="13"/>
      <c r="K11" s="13"/>
      <c r="L11" s="13"/>
      <c r="M11" s="13"/>
    </row>
    <row r="13" customFormat="false" ht="15" hidden="false" customHeight="true" outlineLevel="0" collapsed="false">
      <c r="B13" s="8" t="s">
        <v>25</v>
      </c>
      <c r="I13" s="8" t="s">
        <v>26</v>
      </c>
    </row>
    <row r="14" customFormat="false" ht="15" hidden="false" customHeight="true" outlineLevel="0" collapsed="false">
      <c r="B14" s="14" t="s">
        <v>27</v>
      </c>
      <c r="C14" s="14"/>
      <c r="D14" s="14"/>
      <c r="E14" s="14"/>
      <c r="F14" s="14"/>
      <c r="G14" s="14"/>
    </row>
    <row r="16" customFormat="false" ht="15" hidden="false" customHeight="true" outlineLevel="0" collapsed="false">
      <c r="B16" s="15" t="s">
        <v>28</v>
      </c>
      <c r="C16" s="15" t="s">
        <v>29</v>
      </c>
      <c r="D16" s="15" t="s">
        <v>30</v>
      </c>
      <c r="E16" s="15" t="s">
        <v>31</v>
      </c>
      <c r="F16" s="15" t="s">
        <v>32</v>
      </c>
      <c r="I16" s="15" t="s">
        <v>28</v>
      </c>
      <c r="J16" s="15" t="s">
        <v>29</v>
      </c>
      <c r="K16" s="15" t="s">
        <v>33</v>
      </c>
    </row>
    <row r="17" customFormat="false" ht="15" hidden="false" customHeight="true" outlineLevel="0" collapsed="false">
      <c r="B17" s="16" t="n">
        <v>1</v>
      </c>
      <c r="C17" s="16" t="str">
        <f aca="false">IFERROR(INDEX(Calc_T1!$A$2:$A$36,MATCH($B17,Calc_T1!$M$2:$M$36,0)),"")</f>
        <v>Congo, Dem. Rep.</v>
      </c>
      <c r="D17" s="16" t="str">
        <f aca="false">IFERROR(INDEX(Calc_T1!$B$2:$B$36,MATCH($B17,Calc_T1!$M$2:$M$36,0)),"")</f>
        <v>Sub-Saharan Africa</v>
      </c>
      <c r="E17" s="17" t="n">
        <f aca="false">IFERROR(INDEX(Calc_T1!$K$2:$K$36,MATCH($B17,Calc_T1!$M$2:$M$36,0)),"")</f>
        <v>72.39</v>
      </c>
      <c r="F17" s="16" t="str">
        <f aca="false">IFERROR(INDEX(Calc_T1!$J$2:$J$36,MATCH($B17,Calc_T1!$M$2:$M$36,0)),"")</f>
        <v>High Risk</v>
      </c>
      <c r="I17" s="16" t="n">
        <v>1</v>
      </c>
      <c r="J17" s="16" t="str">
        <f aca="false">IFERROR(INDEX(Calc_T1!$A$2:$A$36,MATCH($I17,Calc_T1!$M$2:$M$36,0)),"")</f>
        <v>Congo, Dem. Rep.</v>
      </c>
      <c r="K17" s="16" t="n">
        <f aca="false">IFERROR(INDEX(Calc_T1!$K$2:$K$36,MATCH($I17,Calc_T1!$M$2:$M$36,0)),"")</f>
        <v>72.39</v>
      </c>
    </row>
    <row r="18" customFormat="false" ht="15" hidden="false" customHeight="true" outlineLevel="0" collapsed="false">
      <c r="B18" s="16" t="n">
        <v>2</v>
      </c>
      <c r="C18" s="16" t="str">
        <f aca="false">IFERROR(INDEX(Calc_T1!$A$2:$A$36,MATCH($B18,Calc_T1!$M$2:$M$36,0)),"")</f>
        <v>Iran, Islamic Rep.</v>
      </c>
      <c r="D18" s="16" t="str">
        <f aca="false">IFERROR(INDEX(Calc_T1!$B$2:$B$36,MATCH($B18,Calc_T1!$M$2:$M$36,0)),"")</f>
        <v>Middle East &amp; North Africa</v>
      </c>
      <c r="E18" s="17" t="n">
        <f aca="false">IFERROR(INDEX(Calc_T1!$K$2:$K$36,MATCH($B18,Calc_T1!$M$2:$M$36,0)),"")</f>
        <v>67.44</v>
      </c>
      <c r="F18" s="16" t="str">
        <f aca="false">IFERROR(INDEX(Calc_T1!$J$2:$J$36,MATCH($B18,Calc_T1!$M$2:$M$36,0)),"")</f>
        <v>High Risk</v>
      </c>
      <c r="I18" s="16" t="n">
        <v>2</v>
      </c>
      <c r="J18" s="16" t="str">
        <f aca="false">IFERROR(INDEX(Calc_T1!$A$2:$A$36,MATCH($I18,Calc_T1!$M$2:$M$36,0)),"")</f>
        <v>Iran, Islamic Rep.</v>
      </c>
      <c r="K18" s="16" t="n">
        <f aca="false">IFERROR(INDEX(Calc_T1!$K$2:$K$36,MATCH($I18,Calc_T1!$M$2:$M$36,0)),"")</f>
        <v>67.44</v>
      </c>
    </row>
    <row r="19" customFormat="false" ht="15" hidden="false" customHeight="true" outlineLevel="0" collapsed="false">
      <c r="B19" s="16" t="n">
        <v>3</v>
      </c>
      <c r="C19" s="16" t="str">
        <f aca="false">IFERROR(INDEX(Calc_T1!$A$2:$A$36,MATCH($B19,Calc_T1!$M$2:$M$36,0)),"")</f>
        <v>Pakistan</v>
      </c>
      <c r="D19" s="16" t="str">
        <f aca="false">IFERROR(INDEX(Calc_T1!$B$2:$B$36,MATCH($B19,Calc_T1!$M$2:$M$36,0)),"")</f>
        <v>South Asia</v>
      </c>
      <c r="E19" s="17" t="n">
        <f aca="false">IFERROR(INDEX(Calc_T1!$K$2:$K$36,MATCH($B19,Calc_T1!$M$2:$M$36,0)),"")</f>
        <v>65.31</v>
      </c>
      <c r="F19" s="16" t="str">
        <f aca="false">IFERROR(INDEX(Calc_T1!$J$2:$J$36,MATCH($B19,Calc_T1!$M$2:$M$36,0)),"")</f>
        <v>High Risk</v>
      </c>
      <c r="I19" s="16" t="n">
        <v>3</v>
      </c>
      <c r="J19" s="16" t="str">
        <f aca="false">IFERROR(INDEX(Calc_T1!$A$2:$A$36,MATCH($I19,Calc_T1!$M$2:$M$36,0)),"")</f>
        <v>Pakistan</v>
      </c>
      <c r="K19" s="16" t="n">
        <f aca="false">IFERROR(INDEX(Calc_T1!$K$2:$K$36,MATCH($I19,Calc_T1!$M$2:$M$36,0)),"")</f>
        <v>65.31</v>
      </c>
    </row>
    <row r="20" customFormat="false" ht="15" hidden="false" customHeight="true" outlineLevel="0" collapsed="false">
      <c r="B20" s="16" t="n">
        <v>4</v>
      </c>
      <c r="C20" s="16" t="str">
        <f aca="false">IFERROR(INDEX(Calc_T1!$A$2:$A$36,MATCH($B20,Calc_T1!$M$2:$M$36,0)),"")</f>
        <v>Nigeria</v>
      </c>
      <c r="D20" s="16" t="str">
        <f aca="false">IFERROR(INDEX(Calc_T1!$B$2:$B$36,MATCH($B20,Calc_T1!$M$2:$M$36,0)),"")</f>
        <v>Sub-Saharan Africa</v>
      </c>
      <c r="E20" s="17" t="n">
        <f aca="false">IFERROR(INDEX(Calc_T1!$K$2:$K$36,MATCH($B20,Calc_T1!$M$2:$M$36,0)),"")</f>
        <v>64.63</v>
      </c>
      <c r="F20" s="16" t="str">
        <f aca="false">IFERROR(INDEX(Calc_T1!$J$2:$J$36,MATCH($B20,Calc_T1!$M$2:$M$36,0)),"")</f>
        <v>Medium Risk</v>
      </c>
      <c r="I20" s="16" t="n">
        <v>4</v>
      </c>
      <c r="J20" s="16" t="str">
        <f aca="false">IFERROR(INDEX(Calc_T1!$A$2:$A$36,MATCH($I20,Calc_T1!$M$2:$M$36,0)),"")</f>
        <v>Nigeria</v>
      </c>
      <c r="K20" s="16" t="n">
        <f aca="false">IFERROR(INDEX(Calc_T1!$K$2:$K$36,MATCH($I20,Calc_T1!$M$2:$M$36,0)),"")</f>
        <v>64.63</v>
      </c>
    </row>
    <row r="21" customFormat="false" ht="15" hidden="false" customHeight="true" outlineLevel="0" collapsed="false">
      <c r="B21" s="16" t="n">
        <v>5</v>
      </c>
      <c r="C21" s="16" t="str">
        <f aca="false">IFERROR(INDEX(Calc_T1!$A$2:$A$36,MATCH($B21,Calc_T1!$M$2:$M$36,0)),"")</f>
        <v>Bangladesh</v>
      </c>
      <c r="D21" s="16" t="str">
        <f aca="false">IFERROR(INDEX(Calc_T1!$B$2:$B$36,MATCH($B21,Calc_T1!$M$2:$M$36,0)),"")</f>
        <v>South Asia</v>
      </c>
      <c r="E21" s="17" t="n">
        <f aca="false">IFERROR(INDEX(Calc_T1!$K$2:$K$36,MATCH($B21,Calc_T1!$M$2:$M$36,0)),"")</f>
        <v>63.31</v>
      </c>
      <c r="F21" s="16" t="str">
        <f aca="false">IFERROR(INDEX(Calc_T1!$J$2:$J$36,MATCH($B21,Calc_T1!$M$2:$M$36,0)),"")</f>
        <v>Medium Risk</v>
      </c>
      <c r="I21" s="16" t="n">
        <v>5</v>
      </c>
      <c r="J21" s="16" t="str">
        <f aca="false">IFERROR(INDEX(Calc_T1!$A$2:$A$36,MATCH($I21,Calc_T1!$M$2:$M$36,0)),"")</f>
        <v>Bangladesh</v>
      </c>
      <c r="K21" s="16" t="n">
        <f aca="false">IFERROR(INDEX(Calc_T1!$K$2:$K$36,MATCH($I21,Calc_T1!$M$2:$M$36,0)),"")</f>
        <v>63.31</v>
      </c>
    </row>
    <row r="22" customFormat="false" ht="15" hidden="false" customHeight="true" outlineLevel="0" collapsed="false">
      <c r="B22" s="16" t="n">
        <v>6</v>
      </c>
      <c r="C22" s="16" t="str">
        <f aca="false">IFERROR(INDEX(Calc_T1!$A$2:$A$36,MATCH($B22,Calc_T1!$M$2:$M$36,0)),"")</f>
        <v>Ethiopia</v>
      </c>
      <c r="D22" s="16" t="str">
        <f aca="false">IFERROR(INDEX(Calc_T1!$B$2:$B$36,MATCH($B22,Calc_T1!$M$2:$M$36,0)),"")</f>
        <v>Sub-Saharan Africa</v>
      </c>
      <c r="E22" s="17" t="n">
        <f aca="false">IFERROR(INDEX(Calc_T1!$K$2:$K$36,MATCH($B22,Calc_T1!$M$2:$M$36,0)),"")</f>
        <v>61.67</v>
      </c>
      <c r="F22" s="16" t="str">
        <f aca="false">IFERROR(INDEX(Calc_T1!$J$2:$J$36,MATCH($B22,Calc_T1!$M$2:$M$36,0)),"")</f>
        <v>Medium Risk</v>
      </c>
      <c r="I22" s="16" t="n">
        <v>6</v>
      </c>
      <c r="J22" s="16" t="str">
        <f aca="false">IFERROR(INDEX(Calc_T1!$A$2:$A$36,MATCH($I22,Calc_T1!$M$2:$M$36,0)),"")</f>
        <v>Ethiopia</v>
      </c>
      <c r="K22" s="16" t="n">
        <f aca="false">IFERROR(INDEX(Calc_T1!$K$2:$K$36,MATCH($I22,Calc_T1!$M$2:$M$36,0)),"")</f>
        <v>61.67</v>
      </c>
    </row>
    <row r="23" customFormat="false" ht="15" hidden="false" customHeight="true" outlineLevel="0" collapsed="false">
      <c r="B23" s="16" t="n">
        <v>7</v>
      </c>
      <c r="C23" s="16" t="str">
        <f aca="false">IFERROR(INDEX(Calc_T1!$A$2:$A$36,MATCH($B23,Calc_T1!$M$2:$M$36,0)),"")</f>
        <v>Russian Federation</v>
      </c>
      <c r="D23" s="16" t="str">
        <f aca="false">IFERROR(INDEX(Calc_T1!$B$2:$B$36,MATCH($B23,Calc_T1!$M$2:$M$36,0)),"")</f>
        <v>Europe &amp; Central Asia</v>
      </c>
      <c r="E23" s="17" t="n">
        <f aca="false">IFERROR(INDEX(Calc_T1!$K$2:$K$36,MATCH($B23,Calc_T1!$M$2:$M$36,0)),"")</f>
        <v>61.16</v>
      </c>
      <c r="F23" s="16" t="str">
        <f aca="false">IFERROR(INDEX(Calc_T1!$J$2:$J$36,MATCH($B23,Calc_T1!$M$2:$M$36,0)),"")</f>
        <v>Medium Risk</v>
      </c>
      <c r="I23" s="16" t="n">
        <v>7</v>
      </c>
      <c r="J23" s="16" t="str">
        <f aca="false">IFERROR(INDEX(Calc_T1!$A$2:$A$36,MATCH($I23,Calc_T1!$M$2:$M$36,0)),"")</f>
        <v>Russian Federation</v>
      </c>
      <c r="K23" s="16" t="n">
        <f aca="false">IFERROR(INDEX(Calc_T1!$K$2:$K$36,MATCH($I23,Calc_T1!$M$2:$M$36,0)),"")</f>
        <v>61.16</v>
      </c>
    </row>
    <row r="24" customFormat="false" ht="15" hidden="false" customHeight="true" outlineLevel="0" collapsed="false">
      <c r="B24" s="16" t="n">
        <v>8</v>
      </c>
      <c r="C24" s="16" t="str">
        <f aca="false">IFERROR(INDEX(Calc_T1!$A$2:$A$36,MATCH($B24,Calc_T1!$M$2:$M$36,0)),"")</f>
        <v>Egypt, Arab Rep.</v>
      </c>
      <c r="D24" s="16" t="str">
        <f aca="false">IFERROR(INDEX(Calc_T1!$B$2:$B$36,MATCH($B24,Calc_T1!$M$2:$M$36,0)),"")</f>
        <v>Middle East &amp; North Africa</v>
      </c>
      <c r="E24" s="17" t="n">
        <f aca="false">IFERROR(INDEX(Calc_T1!$K$2:$K$36,MATCH($B24,Calc_T1!$M$2:$M$36,0)),"")</f>
        <v>57.17</v>
      </c>
      <c r="F24" s="16" t="str">
        <f aca="false">IFERROR(INDEX(Calc_T1!$J$2:$J$36,MATCH($B24,Calc_T1!$M$2:$M$36,0)),"")</f>
        <v>Medium Risk</v>
      </c>
      <c r="I24" s="16" t="n">
        <v>8</v>
      </c>
      <c r="J24" s="16" t="str">
        <f aca="false">IFERROR(INDEX(Calc_T1!$A$2:$A$36,MATCH($I24,Calc_T1!$M$2:$M$36,0)),"")</f>
        <v>Egypt, Arab Rep.</v>
      </c>
      <c r="K24" s="16" t="n">
        <f aca="false">IFERROR(INDEX(Calc_T1!$K$2:$K$36,MATCH($I24,Calc_T1!$M$2:$M$36,0)),"")</f>
        <v>57.17</v>
      </c>
    </row>
    <row r="25" customFormat="false" ht="15" hidden="false" customHeight="true" outlineLevel="0" collapsed="false">
      <c r="B25" s="16" t="n">
        <v>9</v>
      </c>
      <c r="C25" s="16" t="str">
        <f aca="false">IFERROR(INDEX(Calc_T1!$A$2:$A$36,MATCH($B25,Calc_T1!$M$2:$M$36,0)),"")</f>
        <v>Mexico</v>
      </c>
      <c r="D25" s="16" t="str">
        <f aca="false">IFERROR(INDEX(Calc_T1!$B$2:$B$36,MATCH($B25,Calc_T1!$M$2:$M$36,0)),"")</f>
        <v>Latin America &amp; Caribbean</v>
      </c>
      <c r="E25" s="17" t="n">
        <f aca="false">IFERROR(INDEX(Calc_T1!$K$2:$K$36,MATCH($B25,Calc_T1!$M$2:$M$36,0)),"")</f>
        <v>57.16</v>
      </c>
      <c r="F25" s="16" t="str">
        <f aca="false">IFERROR(INDEX(Calc_T1!$J$2:$J$36,MATCH($B25,Calc_T1!$M$2:$M$36,0)),"")</f>
        <v>Medium Risk</v>
      </c>
      <c r="I25" s="16" t="n">
        <v>9</v>
      </c>
      <c r="J25" s="16" t="str">
        <f aca="false">IFERROR(INDEX(Calc_T1!$A$2:$A$36,MATCH($I25,Calc_T1!$M$2:$M$36,0)),"")</f>
        <v>Mexico</v>
      </c>
      <c r="K25" s="16" t="n">
        <f aca="false">IFERROR(INDEX(Calc_T1!$K$2:$K$36,MATCH($I25,Calc_T1!$M$2:$M$36,0)),"")</f>
        <v>57.16</v>
      </c>
    </row>
    <row r="26" customFormat="false" ht="15" hidden="false" customHeight="true" outlineLevel="0" collapsed="false">
      <c r="B26" s="16" t="n">
        <v>10</v>
      </c>
      <c r="C26" s="16" t="str">
        <f aca="false">IFERROR(INDEX(Calc_T1!$A$2:$A$36,MATCH($B26,Calc_T1!$M$2:$M$36,0)),"")</f>
        <v>Kenya</v>
      </c>
      <c r="D26" s="16" t="str">
        <f aca="false">IFERROR(INDEX(Calc_T1!$B$2:$B$36,MATCH($B26,Calc_T1!$M$2:$M$36,0)),"")</f>
        <v>Sub-Saharan Africa</v>
      </c>
      <c r="E26" s="17" t="n">
        <f aca="false">IFERROR(INDEX(Calc_T1!$K$2:$K$36,MATCH($B26,Calc_T1!$M$2:$M$36,0)),"")</f>
        <v>56.77</v>
      </c>
      <c r="F26" s="16" t="str">
        <f aca="false">IFERROR(INDEX(Calc_T1!$J$2:$J$36,MATCH($B26,Calc_T1!$M$2:$M$36,0)),"")</f>
        <v>Medium Risk</v>
      </c>
      <c r="I26" s="16" t="n">
        <v>10</v>
      </c>
      <c r="J26" s="16" t="str">
        <f aca="false">IFERROR(INDEX(Calc_T1!$A$2:$A$36,MATCH($I26,Calc_T1!$M$2:$M$36,0)),"")</f>
        <v>Kenya</v>
      </c>
      <c r="K26" s="16" t="n">
        <f aca="false">IFERROR(INDEX(Calc_T1!$K$2:$K$36,MATCH($I26,Calc_T1!$M$2:$M$36,0)),"")</f>
        <v>56.77</v>
      </c>
    </row>
    <row r="27" customFormat="false" ht="15" hidden="false" customHeight="true" outlineLevel="0" collapsed="false">
      <c r="B27" s="16" t="n">
        <v>11</v>
      </c>
      <c r="C27" s="16" t="str">
        <f aca="false">IFERROR(INDEX(Calc_T1!$A$2:$A$36,MATCH($B27,Calc_T1!$M$2:$M$36,0)),"")</f>
        <v>Turkiye</v>
      </c>
      <c r="D27" s="16" t="str">
        <f aca="false">IFERROR(INDEX(Calc_T1!$B$2:$B$36,MATCH($B27,Calc_T1!$M$2:$M$36,0)),"")</f>
        <v>Europe &amp; Central Asia</v>
      </c>
      <c r="E27" s="17" t="n">
        <f aca="false">IFERROR(INDEX(Calc_T1!$K$2:$K$36,MATCH($B27,Calc_T1!$M$2:$M$36,0)),"")</f>
        <v>55.06</v>
      </c>
      <c r="F27" s="16" t="str">
        <f aca="false">IFERROR(INDEX(Calc_T1!$J$2:$J$36,MATCH($B27,Calc_T1!$M$2:$M$36,0)),"")</f>
        <v>Medium Risk</v>
      </c>
    </row>
    <row r="28" customFormat="false" ht="15" hidden="false" customHeight="true" outlineLevel="0" collapsed="false">
      <c r="B28" s="16" t="n">
        <v>12</v>
      </c>
      <c r="C28" s="16" t="str">
        <f aca="false">IFERROR(INDEX(Calc_T1!$A$2:$A$36,MATCH($B28,Calc_T1!$M$2:$M$36,0)),"")</f>
        <v>Philippines</v>
      </c>
      <c r="D28" s="16" t="str">
        <f aca="false">IFERROR(INDEX(Calc_T1!$B$2:$B$36,MATCH($B28,Calc_T1!$M$2:$M$36,0)),"")</f>
        <v>East Asia &amp; Pacific</v>
      </c>
      <c r="E28" s="17" t="n">
        <f aca="false">IFERROR(INDEX(Calc_T1!$K$2:$K$36,MATCH($B28,Calc_T1!$M$2:$M$36,0)),"")</f>
        <v>51.99</v>
      </c>
      <c r="F28" s="16" t="str">
        <f aca="false">IFERROR(INDEX(Calc_T1!$J$2:$J$36,MATCH($B28,Calc_T1!$M$2:$M$36,0)),"")</f>
        <v>Medium Risk</v>
      </c>
      <c r="I28" s="8" t="s">
        <v>34</v>
      </c>
    </row>
    <row r="29" customFormat="false" ht="15" hidden="false" customHeight="true" outlineLevel="0" collapsed="false">
      <c r="B29" s="16" t="n">
        <v>13</v>
      </c>
      <c r="C29" s="16" t="str">
        <f aca="false">IFERROR(INDEX(Calc_T1!$A$2:$A$36,MATCH($B29,Calc_T1!$M$2:$M$36,0)),"")</f>
        <v>Colombia</v>
      </c>
      <c r="D29" s="16" t="str">
        <f aca="false">IFERROR(INDEX(Calc_T1!$B$2:$B$36,MATCH($B29,Calc_T1!$M$2:$M$36,0)),"")</f>
        <v>Latin America &amp; Caribbean</v>
      </c>
      <c r="E29" s="17" t="n">
        <f aca="false">IFERROR(INDEX(Calc_T1!$K$2:$K$36,MATCH($B29,Calc_T1!$M$2:$M$36,0)),"")</f>
        <v>51.59</v>
      </c>
      <c r="F29" s="16" t="str">
        <f aca="false">IFERROR(INDEX(Calc_T1!$J$2:$J$36,MATCH($B29,Calc_T1!$M$2:$M$36,0)),"")</f>
        <v>Medium Risk</v>
      </c>
      <c r="I29" s="18" t="s">
        <v>32</v>
      </c>
      <c r="J29" s="18" t="s">
        <v>35</v>
      </c>
    </row>
    <row r="30" customFormat="false" ht="15" hidden="false" customHeight="true" outlineLevel="0" collapsed="false">
      <c r="B30" s="16" t="n">
        <v>14</v>
      </c>
      <c r="C30" s="16" t="str">
        <f aca="false">IFERROR(INDEX(Calc_T1!$A$2:$A$36,MATCH($B30,Calc_T1!$M$2:$M$36,0)),"")</f>
        <v>Brazil</v>
      </c>
      <c r="D30" s="16" t="str">
        <f aca="false">IFERROR(INDEX(Calc_T1!$B$2:$B$36,MATCH($B30,Calc_T1!$M$2:$M$36,0)),"")</f>
        <v>Latin America &amp; Caribbean</v>
      </c>
      <c r="E30" s="17" t="n">
        <f aca="false">IFERROR(INDEX(Calc_T1!$K$2:$K$36,MATCH($B30,Calc_T1!$M$2:$M$36,0)),"")</f>
        <v>50.98</v>
      </c>
      <c r="F30" s="16" t="str">
        <f aca="false">IFERROR(INDEX(Calc_T1!$J$2:$J$36,MATCH($B30,Calc_T1!$M$2:$M$36,0)),"")</f>
        <v>Medium Risk</v>
      </c>
      <c r="I30" s="1" t="s">
        <v>36</v>
      </c>
      <c r="J30" s="1" t="n">
        <f aca="false">COUNTIFS(Calc_T1!$D$2:$D$36,TRUE(),Calc_T1!$J$2:$J$36,"High Risk")</f>
        <v>3</v>
      </c>
    </row>
    <row r="31" customFormat="false" ht="15" hidden="false" customHeight="true" outlineLevel="0" collapsed="false">
      <c r="B31" s="16" t="n">
        <v>15</v>
      </c>
      <c r="C31" s="16" t="str">
        <f aca="false">IFERROR(INDEX(Calc_T1!$A$2:$A$36,MATCH($B31,Calc_T1!$M$2:$M$36,0)),"")</f>
        <v>Indonesia</v>
      </c>
      <c r="D31" s="16" t="str">
        <f aca="false">IFERROR(INDEX(Calc_T1!$B$2:$B$36,MATCH($B31,Calc_T1!$M$2:$M$36,0)),"")</f>
        <v>East Asia &amp; Pacific</v>
      </c>
      <c r="E31" s="17" t="n">
        <f aca="false">IFERROR(INDEX(Calc_T1!$K$2:$K$36,MATCH($B31,Calc_T1!$M$2:$M$36,0)),"")</f>
        <v>49.36</v>
      </c>
      <c r="F31" s="16" t="str">
        <f aca="false">IFERROR(INDEX(Calc_T1!$J$2:$J$36,MATCH($B31,Calc_T1!$M$2:$M$36,0)),"")</f>
        <v>Medium Risk</v>
      </c>
      <c r="I31" s="1" t="s">
        <v>37</v>
      </c>
      <c r="J31" s="1" t="n">
        <f aca="false">COUNTIFS(Calc_T1!$D$2:$D$36,TRUE(),Calc_T1!$J$2:$J$36,"Medium Risk")</f>
        <v>19</v>
      </c>
    </row>
    <row r="32" customFormat="false" ht="15" hidden="false" customHeight="true" outlineLevel="0" collapsed="false">
      <c r="B32" s="16" t="n">
        <v>16</v>
      </c>
      <c r="C32" s="16" t="str">
        <f aca="false">IFERROR(INDEX(Calc_T1!$A$2:$A$36,MATCH($B32,Calc_T1!$M$2:$M$36,0)),"")</f>
        <v>Sri Lanka</v>
      </c>
      <c r="D32" s="16" t="str">
        <f aca="false">IFERROR(INDEX(Calc_T1!$B$2:$B$36,MATCH($B32,Calc_T1!$M$2:$M$36,0)),"")</f>
        <v>South Asia</v>
      </c>
      <c r="E32" s="17" t="n">
        <f aca="false">IFERROR(INDEX(Calc_T1!$K$2:$K$36,MATCH($B32,Calc_T1!$M$2:$M$36,0)),"")</f>
        <v>49.34</v>
      </c>
      <c r="F32" s="16" t="str">
        <f aca="false">IFERROR(INDEX(Calc_T1!$J$2:$J$36,MATCH($B32,Calc_T1!$M$2:$M$36,0)),"")</f>
        <v>Medium Risk</v>
      </c>
      <c r="I32" s="1" t="s">
        <v>38</v>
      </c>
      <c r="J32" s="1" t="n">
        <f aca="false">COUNTIFS(Calc_T1!$D$2:$D$36,TRUE(),Calc_T1!$J$2:$J$36,"Low Risk")</f>
        <v>13</v>
      </c>
    </row>
    <row r="33" customFormat="false" ht="15" hidden="false" customHeight="true" outlineLevel="0" collapsed="false">
      <c r="B33" s="16" t="n">
        <v>17</v>
      </c>
      <c r="C33" s="16" t="str">
        <f aca="false">IFERROR(INDEX(Calc_T1!$A$2:$A$36,MATCH($B33,Calc_T1!$M$2:$M$36,0)),"")</f>
        <v>India</v>
      </c>
      <c r="D33" s="16" t="str">
        <f aca="false">IFERROR(INDEX(Calc_T1!$B$2:$B$36,MATCH($B33,Calc_T1!$M$2:$M$36,0)),"")</f>
        <v>South Asia</v>
      </c>
      <c r="E33" s="17" t="n">
        <f aca="false">IFERROR(INDEX(Calc_T1!$K$2:$K$36,MATCH($B33,Calc_T1!$M$2:$M$36,0)),"")</f>
        <v>49</v>
      </c>
      <c r="F33" s="16" t="str">
        <f aca="false">IFERROR(INDEX(Calc_T1!$J$2:$J$36,MATCH($B33,Calc_T1!$M$2:$M$36,0)),"")</f>
        <v>Medium Risk</v>
      </c>
    </row>
    <row r="34" customFormat="false" ht="15" hidden="false" customHeight="true" outlineLevel="0" collapsed="false">
      <c r="B34" s="16" t="n">
        <v>18</v>
      </c>
      <c r="C34" s="16" t="str">
        <f aca="false">IFERROR(INDEX(Calc_T1!$A$2:$A$36,MATCH($B34,Calc_T1!$M$2:$M$36,0)),"")</f>
        <v>Argentina</v>
      </c>
      <c r="D34" s="16" t="str">
        <f aca="false">IFERROR(INDEX(Calc_T1!$B$2:$B$36,MATCH($B34,Calc_T1!$M$2:$M$36,0)),"")</f>
        <v>Latin America &amp; Caribbean</v>
      </c>
      <c r="E34" s="17" t="n">
        <f aca="false">IFERROR(INDEX(Calc_T1!$K$2:$K$36,MATCH($B34,Calc_T1!$M$2:$M$36,0)),"")</f>
        <v>47.99</v>
      </c>
      <c r="F34" s="16" t="str">
        <f aca="false">IFERROR(INDEX(Calc_T1!$J$2:$J$36,MATCH($B34,Calc_T1!$M$2:$M$36,0)),"")</f>
        <v>Medium Risk</v>
      </c>
    </row>
    <row r="35" customFormat="false" ht="15" hidden="false" customHeight="true" outlineLevel="0" collapsed="false">
      <c r="B35" s="16" t="n">
        <v>19</v>
      </c>
      <c r="C35" s="16" t="str">
        <f aca="false">IFERROR(INDEX(Calc_T1!$A$2:$A$36,MATCH($B35,Calc_T1!$M$2:$M$36,0)),"")</f>
        <v>South Africa</v>
      </c>
      <c r="D35" s="16" t="str">
        <f aca="false">IFERROR(INDEX(Calc_T1!$B$2:$B$36,MATCH($B35,Calc_T1!$M$2:$M$36,0)),"")</f>
        <v>Sub-Saharan Africa</v>
      </c>
      <c r="E35" s="17" t="n">
        <f aca="false">IFERROR(INDEX(Calc_T1!$K$2:$K$36,MATCH($B35,Calc_T1!$M$2:$M$36,0)),"")</f>
        <v>47.37</v>
      </c>
      <c r="F35" s="16" t="str">
        <f aca="false">IFERROR(INDEX(Calc_T1!$J$2:$J$36,MATCH($B35,Calc_T1!$M$2:$M$36,0)),"")</f>
        <v>Medium Risk</v>
      </c>
    </row>
    <row r="36" customFormat="false" ht="15" hidden="false" customHeight="true" outlineLevel="0" collapsed="false">
      <c r="B36" s="16" t="n">
        <v>20</v>
      </c>
      <c r="C36" s="16" t="str">
        <f aca="false">IFERROR(INDEX(Calc_T1!$A$2:$A$36,MATCH($B36,Calc_T1!$M$2:$M$36,0)),"")</f>
        <v>Kazakhstan</v>
      </c>
      <c r="D36" s="16" t="str">
        <f aca="false">IFERROR(INDEX(Calc_T1!$B$2:$B$36,MATCH($B36,Calc_T1!$M$2:$M$36,0)),"")</f>
        <v>Europe &amp; Central Asia</v>
      </c>
      <c r="E36" s="17" t="n">
        <f aca="false">IFERROR(INDEX(Calc_T1!$K$2:$K$36,MATCH($B36,Calc_T1!$M$2:$M$36,0)),"")</f>
        <v>46.61</v>
      </c>
      <c r="F36" s="16" t="str">
        <f aca="false">IFERROR(INDEX(Calc_T1!$J$2:$J$36,MATCH($B36,Calc_T1!$M$2:$M$36,0)),"")</f>
        <v>Medium Risk</v>
      </c>
    </row>
    <row r="37" customFormat="false" ht="15" hidden="false" customHeight="true" outlineLevel="0" collapsed="false">
      <c r="B37" s="16" t="n">
        <v>21</v>
      </c>
      <c r="C37" s="16" t="str">
        <f aca="false">IFERROR(INDEX(Calc_T1!$A$2:$A$36,MATCH($B37,Calc_T1!$M$2:$M$36,0)),"")</f>
        <v>China</v>
      </c>
      <c r="D37" s="16" t="str">
        <f aca="false">IFERROR(INDEX(Calc_T1!$B$2:$B$36,MATCH($B37,Calc_T1!$M$2:$M$36,0)),"")</f>
        <v>East Asia &amp; Pacific</v>
      </c>
      <c r="E37" s="17" t="n">
        <f aca="false">IFERROR(INDEX(Calc_T1!$K$2:$K$36,MATCH($B37,Calc_T1!$M$2:$M$36,0)),"")</f>
        <v>46.59</v>
      </c>
      <c r="F37" s="16" t="str">
        <f aca="false">IFERROR(INDEX(Calc_T1!$J$2:$J$36,MATCH($B37,Calc_T1!$M$2:$M$36,0)),"")</f>
        <v>Medium Risk</v>
      </c>
    </row>
    <row r="38" customFormat="false" ht="15" hidden="false" customHeight="true" outlineLevel="0" collapsed="false">
      <c r="B38" s="16" t="n">
        <v>22</v>
      </c>
      <c r="C38" s="16" t="str">
        <f aca="false">IFERROR(INDEX(Calc_T1!$A$2:$A$36,MATCH($B38,Calc_T1!$M$2:$M$36,0)),"")</f>
        <v>Georgia</v>
      </c>
      <c r="D38" s="16" t="str">
        <f aca="false">IFERROR(INDEX(Calc_T1!$B$2:$B$36,MATCH($B38,Calc_T1!$M$2:$M$36,0)),"")</f>
        <v>Europe &amp; Central Asia</v>
      </c>
      <c r="E38" s="17" t="n">
        <f aca="false">IFERROR(INDEX(Calc_T1!$K$2:$K$36,MATCH($B38,Calc_T1!$M$2:$M$36,0)),"")</f>
        <v>41.09</v>
      </c>
      <c r="F38" s="16" t="str">
        <f aca="false">IFERROR(INDEX(Calc_T1!$J$2:$J$36,MATCH($B38,Calc_T1!$M$2:$M$36,0)),"")</f>
        <v>Medium Risk</v>
      </c>
    </row>
    <row r="39" customFormat="false" ht="15" hidden="false" customHeight="true" outlineLevel="0" collapsed="false">
      <c r="B39" s="16" t="n">
        <v>23</v>
      </c>
      <c r="C39" s="16" t="str">
        <f aca="false">IFERROR(INDEX(Calc_T1!$A$2:$A$36,MATCH($B39,Calc_T1!$M$2:$M$36,0)),"")</f>
        <v>Greece</v>
      </c>
      <c r="D39" s="16" t="str">
        <f aca="false">IFERROR(INDEX(Calc_T1!$B$2:$B$36,MATCH($B39,Calc_T1!$M$2:$M$36,0)),"")</f>
        <v>Europe &amp; Central Asia</v>
      </c>
      <c r="E39" s="17" t="n">
        <f aca="false">IFERROR(INDEX(Calc_T1!$K$2:$K$36,MATCH($B39,Calc_T1!$M$2:$M$36,0)),"")</f>
        <v>38.32</v>
      </c>
      <c r="F39" s="16" t="str">
        <f aca="false">IFERROR(INDEX(Calc_T1!$J$2:$J$36,MATCH($B39,Calc_T1!$M$2:$M$36,0)),"")</f>
        <v>Low Risk</v>
      </c>
    </row>
    <row r="40" customFormat="false" ht="15" hidden="false" customHeight="true" outlineLevel="0" collapsed="false">
      <c r="B40" s="16" t="n">
        <v>24</v>
      </c>
      <c r="C40" s="16" t="str">
        <f aca="false">IFERROR(INDEX(Calc_T1!$A$2:$A$36,MATCH($B40,Calc_T1!$M$2:$M$36,0)),"")</f>
        <v>Saudi Arabia</v>
      </c>
      <c r="D40" s="16" t="str">
        <f aca="false">IFERROR(INDEX(Calc_T1!$B$2:$B$36,MATCH($B40,Calc_T1!$M$2:$M$36,0)),"")</f>
        <v>Middle East &amp; North Africa</v>
      </c>
      <c r="E40" s="17" t="n">
        <f aca="false">IFERROR(INDEX(Calc_T1!$K$2:$K$36,MATCH($B40,Calc_T1!$M$2:$M$36,0)),"")</f>
        <v>36.3</v>
      </c>
      <c r="F40" s="16" t="str">
        <f aca="false">IFERROR(INDEX(Calc_T1!$J$2:$J$36,MATCH($B40,Calc_T1!$M$2:$M$36,0)),"")</f>
        <v>Low Risk</v>
      </c>
    </row>
    <row r="41" customFormat="false" ht="15" hidden="false" customHeight="true" outlineLevel="0" collapsed="false">
      <c r="B41" s="16" t="n">
        <v>25</v>
      </c>
      <c r="C41" s="16" t="str">
        <f aca="false">IFERROR(INDEX(Calc_T1!$A$2:$A$36,MATCH($B41,Calc_T1!$M$2:$M$36,0)),"")</f>
        <v>Italy</v>
      </c>
      <c r="D41" s="16" t="str">
        <f aca="false">IFERROR(INDEX(Calc_T1!$B$2:$B$36,MATCH($B41,Calc_T1!$M$2:$M$36,0)),"")</f>
        <v>Europe &amp; Central Asia</v>
      </c>
      <c r="E41" s="17" t="n">
        <f aca="false">IFERROR(INDEX(Calc_T1!$K$2:$K$36,MATCH($B41,Calc_T1!$M$2:$M$36,0)),"")</f>
        <v>34.3</v>
      </c>
      <c r="F41" s="16" t="str">
        <f aca="false">IFERROR(INDEX(Calc_T1!$J$2:$J$36,MATCH($B41,Calc_T1!$M$2:$M$36,0)),"")</f>
        <v>Low Risk</v>
      </c>
    </row>
    <row r="42" customFormat="false" ht="15" hidden="false" customHeight="true" outlineLevel="0" collapsed="false">
      <c r="B42" s="16" t="n">
        <v>26</v>
      </c>
      <c r="C42" s="16" t="str">
        <f aca="false">IFERROR(INDEX(Calc_T1!$A$2:$A$36,MATCH($B42,Calc_T1!$M$2:$M$36,0)),"")</f>
        <v>Poland</v>
      </c>
      <c r="D42" s="16" t="str">
        <f aca="false">IFERROR(INDEX(Calc_T1!$B$2:$B$36,MATCH($B42,Calc_T1!$M$2:$M$36,0)),"")</f>
        <v>Europe &amp; Central Asia</v>
      </c>
      <c r="E42" s="17" t="n">
        <f aca="false">IFERROR(INDEX(Calc_T1!$K$2:$K$36,MATCH($B42,Calc_T1!$M$2:$M$36,0)),"")</f>
        <v>32.27</v>
      </c>
      <c r="F42" s="16" t="str">
        <f aca="false">IFERROR(INDEX(Calc_T1!$J$2:$J$36,MATCH($B42,Calc_T1!$M$2:$M$36,0)),"")</f>
        <v>Low Risk</v>
      </c>
    </row>
    <row r="43" customFormat="false" ht="15" hidden="false" customHeight="true" outlineLevel="0" collapsed="false">
      <c r="B43" s="16" t="n">
        <v>27</v>
      </c>
      <c r="C43" s="16" t="str">
        <f aca="false">IFERROR(INDEX(Calc_T1!$A$2:$A$36,MATCH($B43,Calc_T1!$M$2:$M$36,0)),"")</f>
        <v>Chile</v>
      </c>
      <c r="D43" s="16" t="str">
        <f aca="false">IFERROR(INDEX(Calc_T1!$B$2:$B$36,MATCH($B43,Calc_T1!$M$2:$M$36,0)),"")</f>
        <v>Latin America &amp; Caribbean</v>
      </c>
      <c r="E43" s="17" t="n">
        <f aca="false">IFERROR(INDEX(Calc_T1!$K$2:$K$36,MATCH($B43,Calc_T1!$M$2:$M$36,0)),"")</f>
        <v>31.44</v>
      </c>
      <c r="F43" s="16" t="str">
        <f aca="false">IFERROR(INDEX(Calc_T1!$J$2:$J$36,MATCH($B43,Calc_T1!$M$2:$M$36,0)),"")</f>
        <v>Low Risk</v>
      </c>
    </row>
    <row r="44" customFormat="false" ht="15" hidden="false" customHeight="true" outlineLevel="0" collapsed="false">
      <c r="B44" s="16" t="n">
        <v>28</v>
      </c>
      <c r="C44" s="16" t="str">
        <f aca="false">IFERROR(INDEX(Calc_T1!$A$2:$A$36,MATCH($B44,Calc_T1!$M$2:$M$36,0)),"")</f>
        <v>France</v>
      </c>
      <c r="D44" s="16" t="str">
        <f aca="false">IFERROR(INDEX(Calc_T1!$B$2:$B$36,MATCH($B44,Calc_T1!$M$2:$M$36,0)),"")</f>
        <v>Europe &amp; Central Asia</v>
      </c>
      <c r="E44" s="17" t="n">
        <f aca="false">IFERROR(INDEX(Calc_T1!$K$2:$K$36,MATCH($B44,Calc_T1!$M$2:$M$36,0)),"")</f>
        <v>29.74</v>
      </c>
      <c r="F44" s="16" t="str">
        <f aca="false">IFERROR(INDEX(Calc_T1!$J$2:$J$36,MATCH($B44,Calc_T1!$M$2:$M$36,0)),"")</f>
        <v>Low Risk</v>
      </c>
    </row>
    <row r="45" customFormat="false" ht="15" hidden="false" customHeight="true" outlineLevel="0" collapsed="false">
      <c r="B45" s="16" t="n">
        <v>29</v>
      </c>
      <c r="C45" s="16" t="str">
        <f aca="false">IFERROR(INDEX(Calc_T1!$A$2:$A$36,MATCH($B45,Calc_T1!$M$2:$M$36,0)),"")</f>
        <v>United States</v>
      </c>
      <c r="D45" s="16" t="str">
        <f aca="false">IFERROR(INDEX(Calc_T1!$B$2:$B$36,MATCH($B45,Calc_T1!$M$2:$M$36,0)),"")</f>
        <v>North America</v>
      </c>
      <c r="E45" s="17" t="n">
        <f aca="false">IFERROR(INDEX(Calc_T1!$K$2:$K$36,MATCH($B45,Calc_T1!$M$2:$M$36,0)),"")</f>
        <v>29.04</v>
      </c>
      <c r="F45" s="16" t="str">
        <f aca="false">IFERROR(INDEX(Calc_T1!$J$2:$J$36,MATCH($B45,Calc_T1!$M$2:$M$36,0)),"")</f>
        <v>Low Risk</v>
      </c>
    </row>
    <row r="46" customFormat="false" ht="15" hidden="false" customHeight="true" outlineLevel="0" collapsed="false">
      <c r="B46" s="16" t="n">
        <v>30</v>
      </c>
      <c r="C46" s="16" t="str">
        <f aca="false">IFERROR(INDEX(Calc_T1!$A$2:$A$36,MATCH($B46,Calc_T1!$M$2:$M$36,0)),"")</f>
        <v>United Arab Emirates</v>
      </c>
      <c r="D46" s="16" t="str">
        <f aca="false">IFERROR(INDEX(Calc_T1!$B$2:$B$36,MATCH($B46,Calc_T1!$M$2:$M$36,0)),"")</f>
        <v>Middle East &amp; North Africa</v>
      </c>
      <c r="E46" s="17" t="n">
        <f aca="false">IFERROR(INDEX(Calc_T1!$K$2:$K$36,MATCH($B46,Calc_T1!$M$2:$M$36,0)),"")</f>
        <v>27.74</v>
      </c>
      <c r="F46" s="16" t="str">
        <f aca="false">IFERROR(INDEX(Calc_T1!$J$2:$J$36,MATCH($B46,Calc_T1!$M$2:$M$36,0)),"")</f>
        <v>Low Risk</v>
      </c>
    </row>
    <row r="47" customFormat="false" ht="15" hidden="false" customHeight="true" outlineLevel="0" collapsed="false">
      <c r="B47" s="16" t="n">
        <v>31</v>
      </c>
      <c r="C47" s="16" t="str">
        <f aca="false">IFERROR(INDEX(Calc_T1!$A$2:$A$36,MATCH($B47,Calc_T1!$M$2:$M$36,0)),"")</f>
        <v>United Kingdom</v>
      </c>
      <c r="D47" s="16" t="str">
        <f aca="false">IFERROR(INDEX(Calc_T1!$B$2:$B$36,MATCH($B47,Calc_T1!$M$2:$M$36,0)),"")</f>
        <v>Europe &amp; Central Asia</v>
      </c>
      <c r="E47" s="17" t="n">
        <f aca="false">IFERROR(INDEX(Calc_T1!$K$2:$K$36,MATCH($B47,Calc_T1!$M$2:$M$36,0)),"")</f>
        <v>23.44</v>
      </c>
      <c r="F47" s="16" t="str">
        <f aca="false">IFERROR(INDEX(Calc_T1!$J$2:$J$36,MATCH($B47,Calc_T1!$M$2:$M$36,0)),"")</f>
        <v>Low Risk</v>
      </c>
    </row>
    <row r="48" customFormat="false" ht="15" hidden="false" customHeight="true" outlineLevel="0" collapsed="false">
      <c r="B48" s="16" t="n">
        <v>32</v>
      </c>
      <c r="C48" s="16" t="str">
        <f aca="false">IFERROR(INDEX(Calc_T1!$A$2:$A$36,MATCH($B48,Calc_T1!$M$2:$M$36,0)),"")</f>
        <v>Germany</v>
      </c>
      <c r="D48" s="16" t="str">
        <f aca="false">IFERROR(INDEX(Calc_T1!$B$2:$B$36,MATCH($B48,Calc_T1!$M$2:$M$36,0)),"")</f>
        <v>Europe &amp; Central Asia</v>
      </c>
      <c r="E48" s="17" t="n">
        <f aca="false">IFERROR(INDEX(Calc_T1!$K$2:$K$36,MATCH($B48,Calc_T1!$M$2:$M$36,0)),"")</f>
        <v>21.2</v>
      </c>
      <c r="F48" s="16" t="str">
        <f aca="false">IFERROR(INDEX(Calc_T1!$J$2:$J$36,MATCH($B48,Calc_T1!$M$2:$M$36,0)),"")</f>
        <v>Low Risk</v>
      </c>
    </row>
    <row r="49" customFormat="false" ht="15" hidden="false" customHeight="true" outlineLevel="0" collapsed="false">
      <c r="B49" s="16" t="n">
        <v>33</v>
      </c>
      <c r="C49" s="16" t="str">
        <f aca="false">IFERROR(INDEX(Calc_T1!$A$2:$A$36,MATCH($B49,Calc_T1!$M$2:$M$36,0)),"")</f>
        <v>Canada</v>
      </c>
      <c r="D49" s="16" t="str">
        <f aca="false">IFERROR(INDEX(Calc_T1!$B$2:$B$36,MATCH($B49,Calc_T1!$M$2:$M$36,0)),"")</f>
        <v>North America</v>
      </c>
      <c r="E49" s="17" t="n">
        <f aca="false">IFERROR(INDEX(Calc_T1!$K$2:$K$36,MATCH($B49,Calc_T1!$M$2:$M$36,0)),"")</f>
        <v>21.14</v>
      </c>
      <c r="F49" s="16" t="str">
        <f aca="false">IFERROR(INDEX(Calc_T1!$J$2:$J$36,MATCH($B49,Calc_T1!$M$2:$M$36,0)),"")</f>
        <v>Low Risk</v>
      </c>
    </row>
    <row r="50" customFormat="false" ht="15" hidden="false" customHeight="true" outlineLevel="0" collapsed="false">
      <c r="B50" s="16" t="n">
        <v>34</v>
      </c>
      <c r="C50" s="16" t="str">
        <f aca="false">IFERROR(INDEX(Calc_T1!$A$2:$A$36,MATCH($B50,Calc_T1!$M$2:$M$36,0)),"")</f>
        <v>Japan</v>
      </c>
      <c r="D50" s="16" t="str">
        <f aca="false">IFERROR(INDEX(Calc_T1!$B$2:$B$36,MATCH($B50,Calc_T1!$M$2:$M$36,0)),"")</f>
        <v>East Asia &amp; Pacific</v>
      </c>
      <c r="E50" s="17" t="n">
        <f aca="false">IFERROR(INDEX(Calc_T1!$K$2:$K$36,MATCH($B50,Calc_T1!$M$2:$M$36,0)),"")</f>
        <v>20.15</v>
      </c>
      <c r="F50" s="16" t="str">
        <f aca="false">IFERROR(INDEX(Calc_T1!$J$2:$J$36,MATCH($B50,Calc_T1!$M$2:$M$36,0)),"")</f>
        <v>Low Risk</v>
      </c>
    </row>
    <row r="51" customFormat="false" ht="15" hidden="false" customHeight="true" outlineLevel="0" collapsed="false">
      <c r="B51" s="16" t="n">
        <v>35</v>
      </c>
      <c r="C51" s="16" t="str">
        <f aca="false">IFERROR(INDEX(Calc_T1!$A$2:$A$36,MATCH($B51,Calc_T1!$M$2:$M$36,0)),"")</f>
        <v>Australia</v>
      </c>
      <c r="D51" s="16" t="str">
        <f aca="false">IFERROR(INDEX(Calc_T1!$B$2:$B$36,MATCH($B51,Calc_T1!$M$2:$M$36,0)),"")</f>
        <v>East Asia &amp; Pacific</v>
      </c>
      <c r="E51" s="17" t="n">
        <f aca="false">IFERROR(INDEX(Calc_T1!$K$2:$K$36,MATCH($B51,Calc_T1!$M$2:$M$36,0)),"")</f>
        <v>17.73</v>
      </c>
      <c r="F51" s="16" t="str">
        <f aca="false">IFERROR(INDEX(Calc_T1!$J$2:$J$36,MATCH($B51,Calc_T1!$M$2:$M$36,0)),"")</f>
        <v>Low Risk</v>
      </c>
    </row>
    <row r="54" customFormat="false" ht="15" hidden="false" customHeight="true" outlineLevel="0" collapsed="false">
      <c r="B54" s="8" t="s">
        <v>39</v>
      </c>
    </row>
    <row r="56" customFormat="false" ht="15" hidden="false" customHeight="true" outlineLevel="0" collapsed="false">
      <c r="B56" s="18" t="s">
        <v>40</v>
      </c>
      <c r="C56" s="18" t="s">
        <v>41</v>
      </c>
    </row>
    <row r="57" customFormat="false" ht="15" hidden="false" customHeight="true" outlineLevel="0" collapsed="false">
      <c r="B57" s="16" t="n">
        <v>2013</v>
      </c>
      <c r="C57" s="16" t="n">
        <f aca="false">ROUND(AVERAGEIFS(Data!$K:$K,Data!$C:$C,$B57,Data!$O:$O,TRUE()),2)</f>
        <v>44.66</v>
      </c>
    </row>
    <row r="58" customFormat="false" ht="15" hidden="false" customHeight="true" outlineLevel="0" collapsed="false">
      <c r="B58" s="16" t="n">
        <v>2014</v>
      </c>
      <c r="C58" s="16" t="n">
        <f aca="false">ROUND(AVERAGEIFS(Data!$K:$K,Data!$C:$C,$B58,Data!$O:$O,TRUE()),2)</f>
        <v>43.95</v>
      </c>
    </row>
    <row r="59" customFormat="false" ht="15" hidden="false" customHeight="true" outlineLevel="0" collapsed="false">
      <c r="B59" s="16" t="n">
        <v>2015</v>
      </c>
      <c r="C59" s="16" t="n">
        <f aca="false">ROUND(AVERAGEIFS(Data!$K:$K,Data!$C:$C,$B59,Data!$O:$O,TRUE()),2)</f>
        <v>43.81</v>
      </c>
    </row>
    <row r="60" customFormat="false" ht="15" hidden="false" customHeight="true" outlineLevel="0" collapsed="false">
      <c r="B60" s="16" t="n">
        <v>2016</v>
      </c>
      <c r="C60" s="16" t="n">
        <f aca="false">ROUND(AVERAGEIFS(Data!$K:$K,Data!$C:$C,$B60,Data!$O:$O,TRUE()),2)</f>
        <v>43.64</v>
      </c>
    </row>
    <row r="61" customFormat="false" ht="15" hidden="false" customHeight="true" outlineLevel="0" collapsed="false">
      <c r="B61" s="16" t="n">
        <v>2017</v>
      </c>
      <c r="C61" s="16" t="n">
        <f aca="false">ROUND(AVERAGEIFS(Data!$K:$K,Data!$C:$C,$B61,Data!$O:$O,TRUE()),2)</f>
        <v>43.67</v>
      </c>
    </row>
    <row r="62" customFormat="false" ht="15" hidden="false" customHeight="true" outlineLevel="0" collapsed="false">
      <c r="B62" s="16" t="n">
        <v>2018</v>
      </c>
      <c r="C62" s="16" t="n">
        <f aca="false">ROUND(AVERAGEIFS(Data!$K:$K,Data!$C:$C,$B62,Data!$O:$O,TRUE()),2)</f>
        <v>43.52</v>
      </c>
    </row>
    <row r="63" customFormat="false" ht="15" hidden="false" customHeight="true" outlineLevel="0" collapsed="false">
      <c r="B63" s="16" t="n">
        <v>2019</v>
      </c>
      <c r="C63" s="16" t="n">
        <f aca="false">ROUND(AVERAGEIFS(Data!$K:$K,Data!$C:$C,$B63,Data!$O:$O,TRUE()),2)</f>
        <v>43.54</v>
      </c>
    </row>
    <row r="64" customFormat="false" ht="15" hidden="false" customHeight="true" outlineLevel="0" collapsed="false">
      <c r="B64" s="16" t="n">
        <v>2020</v>
      </c>
      <c r="C64" s="16" t="n">
        <f aca="false">ROUND(AVERAGEIFS(Data!$K:$K,Data!$C:$C,$B64,Data!$O:$O,TRUE()),2)</f>
        <v>43.91</v>
      </c>
    </row>
    <row r="65" customFormat="false" ht="15" hidden="false" customHeight="true" outlineLevel="0" collapsed="false">
      <c r="B65" s="16" t="n">
        <v>2021</v>
      </c>
      <c r="C65" s="16" t="n">
        <f aca="false">ROUND(AVERAGEIFS(Data!$K:$K,Data!$C:$C,$B65,Data!$O:$O,TRUE()),2)</f>
        <v>44.18</v>
      </c>
    </row>
    <row r="66" customFormat="false" ht="15" hidden="false" customHeight="true" outlineLevel="0" collapsed="false">
      <c r="B66" s="16" t="n">
        <v>2022</v>
      </c>
      <c r="C66" s="16" t="n">
        <f aca="false">ROUND(AVERAGEIFS(Data!$K:$K,Data!$C:$C,$B66,Data!$O:$O,TRUE()),2)</f>
        <v>44.56</v>
      </c>
    </row>
    <row r="67" customFormat="false" ht="15" hidden="false" customHeight="true" outlineLevel="0" collapsed="false">
      <c r="B67" s="16" t="n">
        <v>2023</v>
      </c>
      <c r="C67" s="16" t="n">
        <f aca="false">ROUND(AVERAGEIFS(Data!$K:$K,Data!$C:$C,$B67,Data!$O:$O,TRUE()),2)</f>
        <v>44.58</v>
      </c>
    </row>
    <row r="68" customFormat="false" ht="15" hidden="false" customHeight="true" outlineLevel="0" collapsed="false">
      <c r="B68" s="16" t="n">
        <v>2024</v>
      </c>
      <c r="C68" s="16" t="n">
        <f aca="false">ROUND(AVERAGEIFS(Data!$K:$K,Data!$C:$C,$B68,Data!$O:$O,TRUE()),2)</f>
        <v>45.05</v>
      </c>
    </row>
  </sheetData>
  <mergeCells count="17">
    <mergeCell ref="B1:S1"/>
    <mergeCell ref="B2:S2"/>
    <mergeCell ref="B7:D7"/>
    <mergeCell ref="E7:G7"/>
    <mergeCell ref="H7:J7"/>
    <mergeCell ref="K7:M7"/>
    <mergeCell ref="B8:D8"/>
    <mergeCell ref="E8:G8"/>
    <mergeCell ref="H8:J8"/>
    <mergeCell ref="K8:M8"/>
    <mergeCell ref="B10:D10"/>
    <mergeCell ref="E10:H10"/>
    <mergeCell ref="I10:M10"/>
    <mergeCell ref="B11:D11"/>
    <mergeCell ref="E11:H11"/>
    <mergeCell ref="I11:M11"/>
    <mergeCell ref="B14:G14"/>
  </mergeCells>
  <conditionalFormatting sqref="E17:E5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dataValidations count="3">
    <dataValidation allowBlank="false" errorStyle="stop" operator="between" showDropDown="false" showErrorMessage="false" showInputMessage="false" sqref="C5" type="list">
      <formula1>Lookups!$A$2:$A$8</formula1>
      <formula2>0</formula2>
    </dataValidation>
    <dataValidation allowBlank="false" errorStyle="stop" operator="between" showDropDown="false" showErrorMessage="false" showInputMessage="false" sqref="F5" type="list">
      <formula1>Lookups!$B$2:$B$5</formula1>
      <formula2>0</formula2>
    </dataValidation>
    <dataValidation allowBlank="false" errorStyle="stop" operator="between" showDropDown="false" showErrorMessage="false" showInputMessage="false" sqref="I5" type="list">
      <formula1>Lookups!$C$2:$C$13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1:S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9" min="2" style="1" width="13"/>
  </cols>
  <sheetData>
    <row r="1" customFormat="false" ht="25.5" hidden="false" customHeight="true" outlineLevel="0" collapsed="false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customFormat="false" ht="15.75" hidden="false" customHeight="true" outlineLevel="0" collapsed="false">
      <c r="B2" s="7" t="s">
        <v>42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4" customFormat="false" ht="15" hidden="false" customHeight="true" outlineLevel="0" collapsed="false">
      <c r="B4" s="8" t="s">
        <v>12</v>
      </c>
    </row>
    <row r="5" customFormat="false" ht="15" hidden="false" customHeight="true" outlineLevel="0" collapsed="false">
      <c r="B5" s="9" t="s">
        <v>43</v>
      </c>
      <c r="C5" s="10" t="s">
        <v>44</v>
      </c>
      <c r="E5" s="9" t="s">
        <v>45</v>
      </c>
      <c r="F5" s="10" t="n">
        <v>2013</v>
      </c>
      <c r="H5" s="9" t="s">
        <v>46</v>
      </c>
      <c r="I5" s="10" t="n">
        <v>2024</v>
      </c>
    </row>
    <row r="7" customFormat="false" ht="21.75" hidden="false" customHeight="true" outlineLevel="0" collapsed="false">
      <c r="B7" s="11" t="s">
        <v>47</v>
      </c>
      <c r="C7" s="11"/>
      <c r="D7" s="11"/>
      <c r="E7" s="11" t="s">
        <v>48</v>
      </c>
      <c r="F7" s="11"/>
      <c r="G7" s="11"/>
      <c r="H7" s="11" t="s">
        <v>49</v>
      </c>
      <c r="I7" s="11"/>
      <c r="J7" s="11"/>
      <c r="K7" s="11" t="s">
        <v>50</v>
      </c>
      <c r="L7" s="11"/>
      <c r="M7" s="11"/>
    </row>
    <row r="8" customFormat="false" ht="30" hidden="false" customHeight="true" outlineLevel="0" collapsed="false">
      <c r="B8" s="12" t="str">
        <f aca="false">T2_Country</f>
        <v>India</v>
      </c>
      <c r="C8" s="12"/>
      <c r="D8" s="12"/>
      <c r="E8" s="12" t="n">
        <f aca="false">ROUND(SUMIFS(Data!$K:$K,Data!$A:$A,T2_Country,Data!$C:$C,T2_EndYear),2)</f>
        <v>49</v>
      </c>
      <c r="F8" s="12"/>
      <c r="G8" s="12"/>
      <c r="H8" s="12" t="str">
        <f aca="false">IF(SUMIFS(Data!$K:$K,Data!$A:$A,T2_Country,Data!$C:$C,T2_EndYear)&gt;65,"High Risk",IF(SUMIFS(Data!$K:$K,Data!$A:$A,T2_Country,Data!$C:$C,T2_EndYear)&gt;=40,"Medium Risk","Low Risk"))</f>
        <v>Medium Risk</v>
      </c>
      <c r="I8" s="12"/>
      <c r="J8" s="12"/>
      <c r="K8" s="12" t="n">
        <f aca="false">ROUND(SUMIFS(Data!$K:$K,Data!$A:$A,T2_Country,Data!$C:$C,T2_EndYear)-SUMIFS(Data!$K:$K,Data!$A:$A,T2_Country,Data!$C:$C,T2_StartYear),2)</f>
        <v>-3.96</v>
      </c>
      <c r="L8" s="12"/>
      <c r="M8" s="12"/>
    </row>
    <row r="12" customFormat="false" ht="15" hidden="false" customHeight="true" outlineLevel="0" collapsed="false">
      <c r="B12" s="8" t="s">
        <v>51</v>
      </c>
      <c r="J12" s="8" t="s">
        <v>52</v>
      </c>
    </row>
    <row r="13" customFormat="false" ht="15" hidden="false" customHeight="true" outlineLevel="0" collapsed="false">
      <c r="B13" s="18" t="s">
        <v>53</v>
      </c>
      <c r="C13" s="18" t="s">
        <v>54</v>
      </c>
      <c r="J13" s="18" t="s">
        <v>40</v>
      </c>
      <c r="K13" s="18" t="s">
        <v>33</v>
      </c>
    </row>
    <row r="14" customFormat="false" ht="15" hidden="false" customHeight="true" outlineLevel="0" collapsed="false">
      <c r="B14" s="19" t="s">
        <v>55</v>
      </c>
      <c r="C14" s="19" t="n">
        <f aca="false">SUMIFS(Data!$F:$F,Data!$A:$A,T2_Country,Data!$C:$C,T2_EndYear)</f>
        <v>41.88</v>
      </c>
      <c r="J14" s="19" t="n">
        <v>2013</v>
      </c>
      <c r="K14" s="19" t="n">
        <f aca="false">ROUND(SUMIFS(Data!$K:$K,Data!$A:$A,T2_Country,Data!$C:$C,$J14),2)</f>
        <v>52.96</v>
      </c>
    </row>
    <row r="15" customFormat="false" ht="15" hidden="false" customHeight="true" outlineLevel="0" collapsed="false">
      <c r="B15" s="19" t="s">
        <v>56</v>
      </c>
      <c r="C15" s="19" t="n">
        <f aca="false">SUMIFS(Data!$G:$G,Data!$A:$A,T2_Country,Data!$C:$C,T2_EndYear)</f>
        <v>56.29</v>
      </c>
      <c r="J15" s="19" t="n">
        <v>2014</v>
      </c>
      <c r="K15" s="19" t="n">
        <f aca="false">ROUND(SUMIFS(Data!$K:$K,Data!$A:$A,T2_Country,Data!$C:$C,$J15),2)</f>
        <v>51.41</v>
      </c>
    </row>
    <row r="16" customFormat="false" ht="15" hidden="false" customHeight="true" outlineLevel="0" collapsed="false">
      <c r="B16" s="19" t="s">
        <v>57</v>
      </c>
      <c r="C16" s="19" t="n">
        <f aca="false">SUMIFS(Data!$H:$H,Data!$A:$A,T2_Country,Data!$C:$C,T2_EndYear)</f>
        <v>53.35</v>
      </c>
      <c r="J16" s="19" t="n">
        <v>2015</v>
      </c>
      <c r="K16" s="19" t="n">
        <f aca="false">ROUND(SUMIFS(Data!$K:$K,Data!$A:$A,T2_Country,Data!$C:$C,$J16),2)</f>
        <v>50.5</v>
      </c>
    </row>
    <row r="17" customFormat="false" ht="15" hidden="false" customHeight="true" outlineLevel="0" collapsed="false">
      <c r="B17" s="19" t="s">
        <v>58</v>
      </c>
      <c r="C17" s="19" t="n">
        <f aca="false">SUMIFS(Data!$I:$I,Data!$A:$A,T2_Country,Data!$C:$C,T2_EndYear)</f>
        <v>52.47</v>
      </c>
      <c r="J17" s="19" t="n">
        <v>2016</v>
      </c>
      <c r="K17" s="19" t="n">
        <f aca="false">ROUND(SUMIFS(Data!$K:$K,Data!$A:$A,T2_Country,Data!$C:$C,$J17),2)</f>
        <v>49.55</v>
      </c>
    </row>
    <row r="18" customFormat="false" ht="15" hidden="false" customHeight="true" outlineLevel="0" collapsed="false">
      <c r="J18" s="19" t="n">
        <v>2017</v>
      </c>
      <c r="K18" s="19" t="n">
        <f aca="false">ROUND(SUMIFS(Data!$K:$K,Data!$A:$A,T2_Country,Data!$C:$C,$J18),2)</f>
        <v>48.21</v>
      </c>
    </row>
    <row r="19" customFormat="false" ht="15" hidden="false" customHeight="true" outlineLevel="0" collapsed="false">
      <c r="J19" s="19" t="n">
        <v>2018</v>
      </c>
      <c r="K19" s="19" t="n">
        <f aca="false">ROUND(SUMIFS(Data!$K:$K,Data!$A:$A,T2_Country,Data!$C:$C,$J19),2)</f>
        <v>48.08</v>
      </c>
    </row>
    <row r="20" customFormat="false" ht="15" hidden="false" customHeight="true" outlineLevel="0" collapsed="false">
      <c r="J20" s="19" t="n">
        <v>2019</v>
      </c>
      <c r="K20" s="19" t="n">
        <f aca="false">ROUND(SUMIFS(Data!$K:$K,Data!$A:$A,T2_Country,Data!$C:$C,$J20),2)</f>
        <v>47.71</v>
      </c>
    </row>
    <row r="21" customFormat="false" ht="15" hidden="false" customHeight="true" outlineLevel="0" collapsed="false">
      <c r="J21" s="19" t="n">
        <v>2020</v>
      </c>
      <c r="K21" s="19" t="n">
        <f aca="false">ROUND(SUMIFS(Data!$K:$K,Data!$A:$A,T2_Country,Data!$C:$C,$J21),2)</f>
        <v>49</v>
      </c>
    </row>
    <row r="22" customFormat="false" ht="15" hidden="false" customHeight="true" outlineLevel="0" collapsed="false">
      <c r="J22" s="19" t="n">
        <v>2021</v>
      </c>
      <c r="K22" s="19" t="n">
        <f aca="false">ROUND(SUMIFS(Data!$K:$K,Data!$A:$A,T2_Country,Data!$C:$C,$J22),2)</f>
        <v>49.16</v>
      </c>
    </row>
    <row r="23" customFormat="false" ht="15" hidden="false" customHeight="true" outlineLevel="0" collapsed="false">
      <c r="J23" s="19" t="n">
        <v>2022</v>
      </c>
      <c r="K23" s="19" t="n">
        <f aca="false">ROUND(SUMIFS(Data!$K:$K,Data!$A:$A,T2_Country,Data!$C:$C,$J23),2)</f>
        <v>49.12</v>
      </c>
    </row>
    <row r="24" customFormat="false" ht="15" hidden="false" customHeight="true" outlineLevel="0" collapsed="false">
      <c r="J24" s="19" t="n">
        <v>2023</v>
      </c>
      <c r="K24" s="19" t="n">
        <f aca="false">ROUND(SUMIFS(Data!$K:$K,Data!$A:$A,T2_Country,Data!$C:$C,$J24),2)</f>
        <v>49.76</v>
      </c>
    </row>
    <row r="25" customFormat="false" ht="15" hidden="false" customHeight="true" outlineLevel="0" collapsed="false">
      <c r="J25" s="19" t="n">
        <v>2024</v>
      </c>
      <c r="K25" s="19" t="n">
        <f aca="false">ROUND(SUMIFS(Data!$K:$K,Data!$A:$A,T2_Country,Data!$C:$C,$J25),2)</f>
        <v>49</v>
      </c>
    </row>
    <row r="29" customFormat="false" ht="15" hidden="false" customHeight="true" outlineLevel="0" collapsed="false">
      <c r="B29" s="8" t="s">
        <v>59</v>
      </c>
      <c r="J29" s="8" t="s">
        <v>60</v>
      </c>
    </row>
    <row r="30" customFormat="false" ht="15" hidden="false" customHeight="true" outlineLevel="0" collapsed="false">
      <c r="B30" s="18" t="s">
        <v>28</v>
      </c>
      <c r="C30" s="18" t="s">
        <v>29</v>
      </c>
      <c r="D30" s="18" t="s">
        <v>33</v>
      </c>
      <c r="J30" s="18" t="s">
        <v>40</v>
      </c>
      <c r="K30" s="18" t="s">
        <v>61</v>
      </c>
      <c r="L30" s="18" t="s">
        <v>56</v>
      </c>
      <c r="M30" s="18" t="s">
        <v>62</v>
      </c>
      <c r="N30" s="18" t="s">
        <v>63</v>
      </c>
    </row>
    <row r="31" customFormat="false" ht="15" hidden="false" customHeight="true" outlineLevel="0" collapsed="false">
      <c r="B31" s="19" t="n">
        <v>1</v>
      </c>
      <c r="C31" s="19" t="str">
        <f aca="false">IFERROR(INDEX(Calc_T2!$A$2:$A$36,MATCH($B31,Calc_T2!$E$2:$E$36,0)),"")</f>
        <v>Pakistan</v>
      </c>
      <c r="D31" s="19" t="n">
        <f aca="false">IFERROR(INDEX(Calc_T2!$C$2:$C$36,MATCH($B31,Calc_T2!$E$2:$E$36,0)),"")</f>
        <v>65.31</v>
      </c>
      <c r="J31" s="19" t="n">
        <v>2013</v>
      </c>
      <c r="K31" s="19" t="n">
        <f aca="false">ROUND(SUMIFS(Data!$F:$F,Data!$A:$A,T2_Country,Data!$C:$C,$J31),2)</f>
        <v>38.33</v>
      </c>
      <c r="L31" s="19" t="n">
        <f aca="false">ROUND(SUMIFS(Data!$G:$G,Data!$A:$A,T2_Country,Data!$C:$C,$J31),2)</f>
        <v>54.97</v>
      </c>
      <c r="M31" s="19" t="n">
        <f aca="false">ROUND(SUMIFS(Data!$H:$H,Data!$A:$A,T2_Country,Data!$C:$C,$J31),2)</f>
        <v>48.99</v>
      </c>
      <c r="N31" s="19" t="n">
        <f aca="false">ROUND(SUMIFS(Data!$I:$I,Data!$A:$A,T2_Country,Data!$C:$C,$J31),2)</f>
        <v>45.89</v>
      </c>
    </row>
    <row r="32" customFormat="false" ht="15" hidden="false" customHeight="true" outlineLevel="0" collapsed="false">
      <c r="B32" s="19" t="n">
        <v>2</v>
      </c>
      <c r="C32" s="19" t="str">
        <f aca="false">IFERROR(INDEX(Calc_T2!$A$2:$A$36,MATCH($B32,Calc_T2!$E$2:$E$36,0)),"")</f>
        <v>Bangladesh</v>
      </c>
      <c r="D32" s="19" t="n">
        <f aca="false">IFERROR(INDEX(Calc_T2!$C$2:$C$36,MATCH($B32,Calc_T2!$E$2:$E$36,0)),"")</f>
        <v>63.31</v>
      </c>
      <c r="J32" s="19" t="n">
        <v>2014</v>
      </c>
      <c r="K32" s="19" t="n">
        <f aca="false">ROUND(SUMIFS(Data!$F:$F,Data!$A:$A,T2_Country,Data!$C:$C,$J32),2)</f>
        <v>39.48</v>
      </c>
      <c r="L32" s="19" t="n">
        <f aca="false">ROUND(SUMIFS(Data!$G:$G,Data!$A:$A,T2_Country,Data!$C:$C,$J32),2)</f>
        <v>54.11</v>
      </c>
      <c r="M32" s="19" t="n">
        <f aca="false">ROUND(SUMIFS(Data!$H:$H,Data!$A:$A,T2_Country,Data!$C:$C,$J32),2)</f>
        <v>48.86</v>
      </c>
      <c r="N32" s="19" t="n">
        <f aca="false">ROUND(SUMIFS(Data!$I:$I,Data!$A:$A,T2_Country,Data!$C:$C,$J32),2)</f>
        <v>51.93</v>
      </c>
    </row>
    <row r="33" customFormat="false" ht="15" hidden="false" customHeight="true" outlineLevel="0" collapsed="false">
      <c r="B33" s="19" t="n">
        <v>3</v>
      </c>
      <c r="C33" s="19" t="str">
        <f aca="false">IFERROR(INDEX(Calc_T2!$A$2:$A$36,MATCH($B33,Calc_T2!$E$2:$E$36,0)),"")</f>
        <v>Sri Lanka</v>
      </c>
      <c r="D33" s="19" t="n">
        <f aca="false">IFERROR(INDEX(Calc_T2!$C$2:$C$36,MATCH($B33,Calc_T2!$E$2:$E$36,0)),"")</f>
        <v>49.34</v>
      </c>
      <c r="J33" s="19" t="n">
        <v>2015</v>
      </c>
      <c r="K33" s="19" t="n">
        <f aca="false">ROUND(SUMIFS(Data!$F:$F,Data!$A:$A,T2_Country,Data!$C:$C,$J33),2)</f>
        <v>40.87</v>
      </c>
      <c r="L33" s="19" t="n">
        <f aca="false">ROUND(SUMIFS(Data!$G:$G,Data!$A:$A,T2_Country,Data!$C:$C,$J33),2)</f>
        <v>54.6</v>
      </c>
      <c r="M33" s="19" t="n">
        <f aca="false">ROUND(SUMIFS(Data!$H:$H,Data!$A:$A,T2_Country,Data!$C:$C,$J33),2)</f>
        <v>49.65</v>
      </c>
      <c r="N33" s="19" t="n">
        <f aca="false">ROUND(SUMIFS(Data!$I:$I,Data!$A:$A,T2_Country,Data!$C:$C,$J33),2)</f>
        <v>52.88</v>
      </c>
    </row>
    <row r="34" customFormat="false" ht="15" hidden="false" customHeight="true" outlineLevel="0" collapsed="false">
      <c r="B34" s="19" t="n">
        <v>4</v>
      </c>
      <c r="C34" s="19" t="str">
        <f aca="false">IFERROR(INDEX(Calc_T2!$A$2:$A$36,MATCH($B34,Calc_T2!$E$2:$E$36,0)),"")</f>
        <v>India</v>
      </c>
      <c r="D34" s="19" t="n">
        <f aca="false">IFERROR(INDEX(Calc_T2!$C$2:$C$36,MATCH($B34,Calc_T2!$E$2:$E$36,0)),"")</f>
        <v>49</v>
      </c>
      <c r="J34" s="19" t="n">
        <v>2016</v>
      </c>
      <c r="K34" s="19" t="n">
        <f aca="false">ROUND(SUMIFS(Data!$F:$F,Data!$A:$A,T2_Country,Data!$C:$C,$J34),2)</f>
        <v>42.08</v>
      </c>
      <c r="L34" s="19" t="n">
        <f aca="false">ROUND(SUMIFS(Data!$G:$G,Data!$A:$A,T2_Country,Data!$C:$C,$J34),2)</f>
        <v>55.55</v>
      </c>
      <c r="M34" s="19" t="n">
        <f aca="false">ROUND(SUMIFS(Data!$H:$H,Data!$A:$A,T2_Country,Data!$C:$C,$J34),2)</f>
        <v>50.86</v>
      </c>
      <c r="N34" s="19" t="n">
        <f aca="false">ROUND(SUMIFS(Data!$I:$I,Data!$A:$A,T2_Country,Data!$C:$C,$J34),2)</f>
        <v>53.32</v>
      </c>
    </row>
    <row r="35" customFormat="false" ht="15" hidden="false" customHeight="true" outlineLevel="0" collapsed="false">
      <c r="B35" s="19" t="n">
        <v>5</v>
      </c>
      <c r="C35" s="19" t="str">
        <f aca="false">IFERROR(INDEX(Calc_T2!$A$2:$A$36,MATCH($B35,Calc_T2!$E$2:$E$36,0)),"")</f>
        <v/>
      </c>
      <c r="D35" s="19" t="str">
        <f aca="false">IFERROR(INDEX(Calc_T2!$C$2:$C$36,MATCH($B35,Calc_T2!$E$2:$E$36,0)),"")</f>
        <v/>
      </c>
      <c r="J35" s="19" t="n">
        <v>2017</v>
      </c>
      <c r="K35" s="19" t="n">
        <f aca="false">ROUND(SUMIFS(Data!$F:$F,Data!$A:$A,T2_Country,Data!$C:$C,$J35),2)</f>
        <v>43.31</v>
      </c>
      <c r="L35" s="19" t="n">
        <f aca="false">ROUND(SUMIFS(Data!$G:$G,Data!$A:$A,T2_Country,Data!$C:$C,$J35),2)</f>
        <v>56.28</v>
      </c>
      <c r="M35" s="19" t="n">
        <f aca="false">ROUND(SUMIFS(Data!$H:$H,Data!$A:$A,T2_Country,Data!$C:$C,$J35),2)</f>
        <v>51.46</v>
      </c>
      <c r="N35" s="19" t="n">
        <f aca="false">ROUND(SUMIFS(Data!$I:$I,Data!$A:$A,T2_Country,Data!$C:$C,$J35),2)</f>
        <v>56.12</v>
      </c>
    </row>
    <row r="36" customFormat="false" ht="15" hidden="false" customHeight="true" outlineLevel="0" collapsed="false">
      <c r="B36" s="19" t="n">
        <v>6</v>
      </c>
      <c r="C36" s="19" t="str">
        <f aca="false">IFERROR(INDEX(Calc_T2!$A$2:$A$36,MATCH($B36,Calc_T2!$E$2:$E$36,0)),"")</f>
        <v/>
      </c>
      <c r="D36" s="19" t="str">
        <f aca="false">IFERROR(INDEX(Calc_T2!$C$2:$C$36,MATCH($B36,Calc_T2!$E$2:$E$36,0)),"")</f>
        <v/>
      </c>
      <c r="J36" s="19" t="n">
        <v>2018</v>
      </c>
      <c r="K36" s="19" t="n">
        <f aca="false">ROUND(SUMIFS(Data!$F:$F,Data!$A:$A,T2_Country,Data!$C:$C,$J36),2)</f>
        <v>43.65</v>
      </c>
      <c r="L36" s="19" t="n">
        <f aca="false">ROUND(SUMIFS(Data!$G:$G,Data!$A:$A,T2_Country,Data!$C:$C,$J36),2)</f>
        <v>57.31</v>
      </c>
      <c r="M36" s="19" t="n">
        <f aca="false">ROUND(SUMIFS(Data!$H:$H,Data!$A:$A,T2_Country,Data!$C:$C,$J36),2)</f>
        <v>52.41</v>
      </c>
      <c r="N36" s="19" t="n">
        <f aca="false">ROUND(SUMIFS(Data!$I:$I,Data!$A:$A,T2_Country,Data!$C:$C,$J36),2)</f>
        <v>54.3</v>
      </c>
    </row>
    <row r="37" customFormat="false" ht="15" hidden="false" customHeight="true" outlineLevel="0" collapsed="false">
      <c r="B37" s="19" t="n">
        <v>7</v>
      </c>
      <c r="C37" s="19" t="str">
        <f aca="false">IFERROR(INDEX(Calc_T2!$A$2:$A$36,MATCH($B37,Calc_T2!$E$2:$E$36,0)),"")</f>
        <v/>
      </c>
      <c r="D37" s="19" t="str">
        <f aca="false">IFERROR(INDEX(Calc_T2!$C$2:$C$36,MATCH($B37,Calc_T2!$E$2:$E$36,0)),"")</f>
        <v/>
      </c>
      <c r="J37" s="19" t="n">
        <v>2019</v>
      </c>
      <c r="K37" s="19" t="n">
        <f aca="false">ROUND(SUMIFS(Data!$F:$F,Data!$A:$A,T2_Country,Data!$C:$C,$J37),2)</f>
        <v>43.44</v>
      </c>
      <c r="L37" s="19" t="n">
        <f aca="false">ROUND(SUMIFS(Data!$G:$G,Data!$A:$A,T2_Country,Data!$C:$C,$J37),2)</f>
        <v>56.62</v>
      </c>
      <c r="M37" s="19" t="n">
        <f aca="false">ROUND(SUMIFS(Data!$H:$H,Data!$A:$A,T2_Country,Data!$C:$C,$J37),2)</f>
        <v>53.32</v>
      </c>
      <c r="N37" s="19" t="n">
        <f aca="false">ROUND(SUMIFS(Data!$I:$I,Data!$A:$A,T2_Country,Data!$C:$C,$J37),2)</f>
        <v>55.81</v>
      </c>
    </row>
    <row r="38" customFormat="false" ht="15" hidden="false" customHeight="true" outlineLevel="0" collapsed="false">
      <c r="B38" s="19" t="n">
        <v>8</v>
      </c>
      <c r="C38" s="19" t="str">
        <f aca="false">IFERROR(INDEX(Calc_T2!$A$2:$A$36,MATCH($B38,Calc_T2!$E$2:$E$36,0)),"")</f>
        <v/>
      </c>
      <c r="D38" s="19" t="str">
        <f aca="false">IFERROR(INDEX(Calc_T2!$C$2:$C$36,MATCH($B38,Calc_T2!$E$2:$E$36,0)),"")</f>
        <v/>
      </c>
      <c r="J38" s="19" t="n">
        <v>2020</v>
      </c>
      <c r="K38" s="19" t="n">
        <f aca="false">ROUND(SUMIFS(Data!$F:$F,Data!$A:$A,T2_Country,Data!$C:$C,$J38),2)</f>
        <v>42.7</v>
      </c>
      <c r="L38" s="19" t="n">
        <f aca="false">ROUND(SUMIFS(Data!$G:$G,Data!$A:$A,T2_Country,Data!$C:$C,$J38),2)</f>
        <v>55.19</v>
      </c>
      <c r="M38" s="19" t="n">
        <f aca="false">ROUND(SUMIFS(Data!$H:$H,Data!$A:$A,T2_Country,Data!$C:$C,$J38),2)</f>
        <v>52.52</v>
      </c>
      <c r="N38" s="19" t="n">
        <f aca="false">ROUND(SUMIFS(Data!$I:$I,Data!$A:$A,T2_Country,Data!$C:$C,$J38),2)</f>
        <v>53.58</v>
      </c>
    </row>
    <row r="39" customFormat="false" ht="15" hidden="false" customHeight="true" outlineLevel="0" collapsed="false">
      <c r="B39" s="19" t="n">
        <v>9</v>
      </c>
      <c r="C39" s="19" t="str">
        <f aca="false">IFERROR(INDEX(Calc_T2!$A$2:$A$36,MATCH($B39,Calc_T2!$E$2:$E$36,0)),"")</f>
        <v/>
      </c>
      <c r="D39" s="19" t="str">
        <f aca="false">IFERROR(INDEX(Calc_T2!$C$2:$C$36,MATCH($B39,Calc_T2!$E$2:$E$36,0)),"")</f>
        <v/>
      </c>
      <c r="J39" s="19" t="n">
        <v>2021</v>
      </c>
      <c r="K39" s="19" t="n">
        <f aca="false">ROUND(SUMIFS(Data!$F:$F,Data!$A:$A,T2_Country,Data!$C:$C,$J39),2)</f>
        <v>41.77</v>
      </c>
      <c r="L39" s="19" t="n">
        <f aca="false">ROUND(SUMIFS(Data!$G:$G,Data!$A:$A,T2_Country,Data!$C:$C,$J39),2)</f>
        <v>53.8</v>
      </c>
      <c r="M39" s="19" t="n">
        <f aca="false">ROUND(SUMIFS(Data!$H:$H,Data!$A:$A,T2_Country,Data!$C:$C,$J39),2)</f>
        <v>52.18</v>
      </c>
      <c r="N39" s="19" t="n">
        <f aca="false">ROUND(SUMIFS(Data!$I:$I,Data!$A:$A,T2_Country,Data!$C:$C,$J39),2)</f>
        <v>55.62</v>
      </c>
    </row>
    <row r="40" customFormat="false" ht="15" hidden="false" customHeight="true" outlineLevel="0" collapsed="false">
      <c r="B40" s="19" t="n">
        <v>10</v>
      </c>
      <c r="C40" s="19" t="str">
        <f aca="false">IFERROR(INDEX(Calc_T2!$A$2:$A$36,MATCH($B40,Calc_T2!$E$2:$E$36,0)),"")</f>
        <v/>
      </c>
      <c r="D40" s="19" t="str">
        <f aca="false">IFERROR(INDEX(Calc_T2!$C$2:$C$36,MATCH($B40,Calc_T2!$E$2:$E$36,0)),"")</f>
        <v/>
      </c>
      <c r="J40" s="19" t="n">
        <v>2022</v>
      </c>
      <c r="K40" s="19" t="n">
        <f aca="false">ROUND(SUMIFS(Data!$F:$F,Data!$A:$A,T2_Country,Data!$C:$C,$J40),2)</f>
        <v>41.93</v>
      </c>
      <c r="L40" s="19" t="n">
        <f aca="false">ROUND(SUMIFS(Data!$G:$G,Data!$A:$A,T2_Country,Data!$C:$C,$J40),2)</f>
        <v>55.06</v>
      </c>
      <c r="M40" s="19" t="n">
        <f aca="false">ROUND(SUMIFS(Data!$H:$H,Data!$A:$A,T2_Country,Data!$C:$C,$J40),2)</f>
        <v>53.48</v>
      </c>
      <c r="N40" s="19" t="n">
        <f aca="false">ROUND(SUMIFS(Data!$I:$I,Data!$A:$A,T2_Country,Data!$C:$C,$J40),2)</f>
        <v>53.02</v>
      </c>
    </row>
    <row r="41" customFormat="false" ht="15" hidden="false" customHeight="true" outlineLevel="0" collapsed="false">
      <c r="J41" s="19" t="n">
        <v>2023</v>
      </c>
      <c r="K41" s="19" t="n">
        <f aca="false">ROUND(SUMIFS(Data!$F:$F,Data!$A:$A,T2_Country,Data!$C:$C,$J41),2)</f>
        <v>41.07</v>
      </c>
      <c r="L41" s="19" t="n">
        <f aca="false">ROUND(SUMIFS(Data!$G:$G,Data!$A:$A,T2_Country,Data!$C:$C,$J41),2)</f>
        <v>55.45</v>
      </c>
      <c r="M41" s="19" t="n">
        <f aca="false">ROUND(SUMIFS(Data!$H:$H,Data!$A:$A,T2_Country,Data!$C:$C,$J41),2)</f>
        <v>52.86</v>
      </c>
      <c r="N41" s="19" t="n">
        <f aca="false">ROUND(SUMIFS(Data!$I:$I,Data!$A:$A,T2_Country,Data!$C:$C,$J41),2)</f>
        <v>51.58</v>
      </c>
    </row>
    <row r="42" customFormat="false" ht="15" hidden="false" customHeight="true" outlineLevel="0" collapsed="false">
      <c r="J42" s="19" t="n">
        <v>2024</v>
      </c>
      <c r="K42" s="19" t="n">
        <f aca="false">ROUND(SUMIFS(Data!$F:$F,Data!$A:$A,T2_Country,Data!$C:$C,$J42),2)</f>
        <v>41.88</v>
      </c>
      <c r="L42" s="19" t="n">
        <f aca="false">ROUND(SUMIFS(Data!$G:$G,Data!$A:$A,T2_Country,Data!$C:$C,$J42),2)</f>
        <v>56.29</v>
      </c>
      <c r="M42" s="19" t="n">
        <f aca="false">ROUND(SUMIFS(Data!$H:$H,Data!$A:$A,T2_Country,Data!$C:$C,$J42),2)</f>
        <v>53.35</v>
      </c>
      <c r="N42" s="19" t="n">
        <f aca="false">ROUND(SUMIFS(Data!$I:$I,Data!$A:$A,T2_Country,Data!$C:$C,$J42),2)</f>
        <v>52.47</v>
      </c>
    </row>
    <row r="55" customFormat="false" ht="15" hidden="false" customHeight="true" outlineLevel="0" collapsed="false">
      <c r="B55" s="8" t="s">
        <v>64</v>
      </c>
    </row>
    <row r="56" customFormat="false" ht="15" hidden="false" customHeight="true" outlineLevel="0" collapsed="false">
      <c r="B56" s="15" t="s">
        <v>29</v>
      </c>
      <c r="C56" s="15" t="s">
        <v>30</v>
      </c>
      <c r="D56" s="15" t="s">
        <v>40</v>
      </c>
      <c r="E56" s="15" t="s">
        <v>61</v>
      </c>
      <c r="F56" s="15" t="s">
        <v>56</v>
      </c>
      <c r="G56" s="15" t="s">
        <v>62</v>
      </c>
      <c r="H56" s="15" t="s">
        <v>63</v>
      </c>
      <c r="I56" s="15" t="s">
        <v>65</v>
      </c>
      <c r="J56" s="15" t="s">
        <v>31</v>
      </c>
      <c r="K56" s="15" t="s">
        <v>32</v>
      </c>
    </row>
    <row r="57" customFormat="false" ht="15" hidden="false" customHeight="true" outlineLevel="0" collapsed="false">
      <c r="B57" s="16" t="str">
        <f aca="false">T2_Country</f>
        <v>India</v>
      </c>
      <c r="C57" s="16" t="str">
        <f aca="false">Calc_T2!$H$1</f>
        <v>South Asia</v>
      </c>
      <c r="D57" s="16" t="n">
        <v>2013</v>
      </c>
      <c r="E57" s="16" t="n">
        <f aca="false">SUMIFS(Data!$F:$F,Data!$A:$A,T2_Country,Data!$C:$C,$D57)</f>
        <v>38.33</v>
      </c>
      <c r="F57" s="16" t="n">
        <f aca="false">SUMIFS(Data!$G:$G,Data!$A:$A,T2_Country,Data!$C:$C,$D57)</f>
        <v>54.97</v>
      </c>
      <c r="G57" s="16" t="n">
        <f aca="false">SUMIFS(Data!$H:$H,Data!$A:$A,T2_Country,Data!$C:$C,$D57)</f>
        <v>48.99</v>
      </c>
      <c r="H57" s="16" t="n">
        <f aca="false">SUMIFS(Data!$I:$I,Data!$A:$A,T2_Country,Data!$C:$C,$D57)</f>
        <v>45.89</v>
      </c>
      <c r="I57" s="16" t="n">
        <f aca="false">SUMIFS(Data!$J:$J,Data!$A:$A,T2_Country,Data!$C:$C,$D57)</f>
        <v>47.04</v>
      </c>
      <c r="J57" s="16" t="n">
        <f aca="false">SUMIFS(Data!$K:$K,Data!$A:$A,T2_Country,Data!$C:$C,$D57)</f>
        <v>52.96</v>
      </c>
      <c r="K57" s="16" t="str">
        <f aca="false">IF($J57&gt;65,"High Risk",IF($J57&gt;=40,"Medium Risk","Low Risk"))</f>
        <v>Medium Risk</v>
      </c>
    </row>
    <row r="58" customFormat="false" ht="15" hidden="false" customHeight="true" outlineLevel="0" collapsed="false">
      <c r="B58" s="16" t="str">
        <f aca="false">T2_Country</f>
        <v>India</v>
      </c>
      <c r="C58" s="16" t="str">
        <f aca="false">Calc_T2!$H$1</f>
        <v>South Asia</v>
      </c>
      <c r="D58" s="16" t="n">
        <v>2014</v>
      </c>
      <c r="E58" s="16" t="n">
        <f aca="false">SUMIFS(Data!$F:$F,Data!$A:$A,T2_Country,Data!$C:$C,$D58)</f>
        <v>39.48</v>
      </c>
      <c r="F58" s="16" t="n">
        <f aca="false">SUMIFS(Data!$G:$G,Data!$A:$A,T2_Country,Data!$C:$C,$D58)</f>
        <v>54.11</v>
      </c>
      <c r="G58" s="16" t="n">
        <f aca="false">SUMIFS(Data!$H:$H,Data!$A:$A,T2_Country,Data!$C:$C,$D58)</f>
        <v>48.86</v>
      </c>
      <c r="H58" s="16" t="n">
        <f aca="false">SUMIFS(Data!$I:$I,Data!$A:$A,T2_Country,Data!$C:$C,$D58)</f>
        <v>51.93</v>
      </c>
      <c r="I58" s="16" t="n">
        <f aca="false">SUMIFS(Data!$J:$J,Data!$A:$A,T2_Country,Data!$C:$C,$D58)</f>
        <v>48.59</v>
      </c>
      <c r="J58" s="16" t="n">
        <f aca="false">SUMIFS(Data!$K:$K,Data!$A:$A,T2_Country,Data!$C:$C,$D58)</f>
        <v>51.41</v>
      </c>
      <c r="K58" s="16" t="str">
        <f aca="false">IF($J58&gt;65,"High Risk",IF($J58&gt;=40,"Medium Risk","Low Risk"))</f>
        <v>Medium Risk</v>
      </c>
    </row>
    <row r="59" customFormat="false" ht="15" hidden="false" customHeight="true" outlineLevel="0" collapsed="false">
      <c r="B59" s="16" t="str">
        <f aca="false">T2_Country</f>
        <v>India</v>
      </c>
      <c r="C59" s="16" t="str">
        <f aca="false">Calc_T2!$H$1</f>
        <v>South Asia</v>
      </c>
      <c r="D59" s="16" t="n">
        <v>2015</v>
      </c>
      <c r="E59" s="16" t="n">
        <f aca="false">SUMIFS(Data!$F:$F,Data!$A:$A,T2_Country,Data!$C:$C,$D59)</f>
        <v>40.87</v>
      </c>
      <c r="F59" s="16" t="n">
        <f aca="false">SUMIFS(Data!$G:$G,Data!$A:$A,T2_Country,Data!$C:$C,$D59)</f>
        <v>54.6</v>
      </c>
      <c r="G59" s="16" t="n">
        <f aca="false">SUMIFS(Data!$H:$H,Data!$A:$A,T2_Country,Data!$C:$C,$D59)</f>
        <v>49.65</v>
      </c>
      <c r="H59" s="16" t="n">
        <f aca="false">SUMIFS(Data!$I:$I,Data!$A:$A,T2_Country,Data!$C:$C,$D59)</f>
        <v>52.88</v>
      </c>
      <c r="I59" s="16" t="n">
        <f aca="false">SUMIFS(Data!$J:$J,Data!$A:$A,T2_Country,Data!$C:$C,$D59)</f>
        <v>49.5</v>
      </c>
      <c r="J59" s="16" t="n">
        <f aca="false">SUMIFS(Data!$K:$K,Data!$A:$A,T2_Country,Data!$C:$C,$D59)</f>
        <v>50.5</v>
      </c>
      <c r="K59" s="16" t="str">
        <f aca="false">IF($J59&gt;65,"High Risk",IF($J59&gt;=40,"Medium Risk","Low Risk"))</f>
        <v>Medium Risk</v>
      </c>
    </row>
    <row r="60" customFormat="false" ht="15" hidden="false" customHeight="true" outlineLevel="0" collapsed="false">
      <c r="B60" s="16" t="str">
        <f aca="false">T2_Country</f>
        <v>India</v>
      </c>
      <c r="C60" s="16" t="str">
        <f aca="false">Calc_T2!$H$1</f>
        <v>South Asia</v>
      </c>
      <c r="D60" s="16" t="n">
        <v>2016</v>
      </c>
      <c r="E60" s="16" t="n">
        <f aca="false">SUMIFS(Data!$F:$F,Data!$A:$A,T2_Country,Data!$C:$C,$D60)</f>
        <v>42.08</v>
      </c>
      <c r="F60" s="16" t="n">
        <f aca="false">SUMIFS(Data!$G:$G,Data!$A:$A,T2_Country,Data!$C:$C,$D60)</f>
        <v>55.55</v>
      </c>
      <c r="G60" s="16" t="n">
        <f aca="false">SUMIFS(Data!$H:$H,Data!$A:$A,T2_Country,Data!$C:$C,$D60)</f>
        <v>50.86</v>
      </c>
      <c r="H60" s="16" t="n">
        <f aca="false">SUMIFS(Data!$I:$I,Data!$A:$A,T2_Country,Data!$C:$C,$D60)</f>
        <v>53.32</v>
      </c>
      <c r="I60" s="16" t="n">
        <f aca="false">SUMIFS(Data!$J:$J,Data!$A:$A,T2_Country,Data!$C:$C,$D60)</f>
        <v>50.45</v>
      </c>
      <c r="J60" s="16" t="n">
        <f aca="false">SUMIFS(Data!$K:$K,Data!$A:$A,T2_Country,Data!$C:$C,$D60)</f>
        <v>49.55</v>
      </c>
      <c r="K60" s="16" t="str">
        <f aca="false">IF($J60&gt;65,"High Risk",IF($J60&gt;=40,"Medium Risk","Low Risk"))</f>
        <v>Medium Risk</v>
      </c>
    </row>
    <row r="61" customFormat="false" ht="15" hidden="false" customHeight="true" outlineLevel="0" collapsed="false">
      <c r="B61" s="16" t="str">
        <f aca="false">T2_Country</f>
        <v>India</v>
      </c>
      <c r="C61" s="16" t="str">
        <f aca="false">Calc_T2!$H$1</f>
        <v>South Asia</v>
      </c>
      <c r="D61" s="16" t="n">
        <v>2017</v>
      </c>
      <c r="E61" s="16" t="n">
        <f aca="false">SUMIFS(Data!$F:$F,Data!$A:$A,T2_Country,Data!$C:$C,$D61)</f>
        <v>43.31</v>
      </c>
      <c r="F61" s="16" t="n">
        <f aca="false">SUMIFS(Data!$G:$G,Data!$A:$A,T2_Country,Data!$C:$C,$D61)</f>
        <v>56.28</v>
      </c>
      <c r="G61" s="16" t="n">
        <f aca="false">SUMIFS(Data!$H:$H,Data!$A:$A,T2_Country,Data!$C:$C,$D61)</f>
        <v>51.46</v>
      </c>
      <c r="H61" s="16" t="n">
        <f aca="false">SUMIFS(Data!$I:$I,Data!$A:$A,T2_Country,Data!$C:$C,$D61)</f>
        <v>56.12</v>
      </c>
      <c r="I61" s="16" t="n">
        <f aca="false">SUMIFS(Data!$J:$J,Data!$A:$A,T2_Country,Data!$C:$C,$D61)</f>
        <v>51.79</v>
      </c>
      <c r="J61" s="16" t="n">
        <f aca="false">SUMIFS(Data!$K:$K,Data!$A:$A,T2_Country,Data!$C:$C,$D61)</f>
        <v>48.21</v>
      </c>
      <c r="K61" s="16" t="str">
        <f aca="false">IF($J61&gt;65,"High Risk",IF($J61&gt;=40,"Medium Risk","Low Risk"))</f>
        <v>Medium Risk</v>
      </c>
    </row>
    <row r="62" customFormat="false" ht="15" hidden="false" customHeight="true" outlineLevel="0" collapsed="false">
      <c r="B62" s="16" t="str">
        <f aca="false">T2_Country</f>
        <v>India</v>
      </c>
      <c r="C62" s="16" t="str">
        <f aca="false">Calc_T2!$H$1</f>
        <v>South Asia</v>
      </c>
      <c r="D62" s="16" t="n">
        <v>2018</v>
      </c>
      <c r="E62" s="16" t="n">
        <f aca="false">SUMIFS(Data!$F:$F,Data!$A:$A,T2_Country,Data!$C:$C,$D62)</f>
        <v>43.65</v>
      </c>
      <c r="F62" s="16" t="n">
        <f aca="false">SUMIFS(Data!$G:$G,Data!$A:$A,T2_Country,Data!$C:$C,$D62)</f>
        <v>57.31</v>
      </c>
      <c r="G62" s="16" t="n">
        <f aca="false">SUMIFS(Data!$H:$H,Data!$A:$A,T2_Country,Data!$C:$C,$D62)</f>
        <v>52.41</v>
      </c>
      <c r="H62" s="16" t="n">
        <f aca="false">SUMIFS(Data!$I:$I,Data!$A:$A,T2_Country,Data!$C:$C,$D62)</f>
        <v>54.3</v>
      </c>
      <c r="I62" s="16" t="n">
        <f aca="false">SUMIFS(Data!$J:$J,Data!$A:$A,T2_Country,Data!$C:$C,$D62)</f>
        <v>51.92</v>
      </c>
      <c r="J62" s="16" t="n">
        <f aca="false">SUMIFS(Data!$K:$K,Data!$A:$A,T2_Country,Data!$C:$C,$D62)</f>
        <v>48.08</v>
      </c>
      <c r="K62" s="16" t="str">
        <f aca="false">IF($J62&gt;65,"High Risk",IF($J62&gt;=40,"Medium Risk","Low Risk"))</f>
        <v>Medium Risk</v>
      </c>
    </row>
    <row r="63" customFormat="false" ht="15" hidden="false" customHeight="true" outlineLevel="0" collapsed="false">
      <c r="B63" s="16" t="str">
        <f aca="false">T2_Country</f>
        <v>India</v>
      </c>
      <c r="C63" s="16" t="str">
        <f aca="false">Calc_T2!$H$1</f>
        <v>South Asia</v>
      </c>
      <c r="D63" s="16" t="n">
        <v>2019</v>
      </c>
      <c r="E63" s="16" t="n">
        <f aca="false">SUMIFS(Data!$F:$F,Data!$A:$A,T2_Country,Data!$C:$C,$D63)</f>
        <v>43.44</v>
      </c>
      <c r="F63" s="16" t="n">
        <f aca="false">SUMIFS(Data!$G:$G,Data!$A:$A,T2_Country,Data!$C:$C,$D63)</f>
        <v>56.62</v>
      </c>
      <c r="G63" s="16" t="n">
        <f aca="false">SUMIFS(Data!$H:$H,Data!$A:$A,T2_Country,Data!$C:$C,$D63)</f>
        <v>53.32</v>
      </c>
      <c r="H63" s="16" t="n">
        <f aca="false">SUMIFS(Data!$I:$I,Data!$A:$A,T2_Country,Data!$C:$C,$D63)</f>
        <v>55.81</v>
      </c>
      <c r="I63" s="16" t="n">
        <f aca="false">SUMIFS(Data!$J:$J,Data!$A:$A,T2_Country,Data!$C:$C,$D63)</f>
        <v>52.29</v>
      </c>
      <c r="J63" s="16" t="n">
        <f aca="false">SUMIFS(Data!$K:$K,Data!$A:$A,T2_Country,Data!$C:$C,$D63)</f>
        <v>47.71</v>
      </c>
      <c r="K63" s="16" t="str">
        <f aca="false">IF($J63&gt;65,"High Risk",IF($J63&gt;=40,"Medium Risk","Low Risk"))</f>
        <v>Medium Risk</v>
      </c>
    </row>
    <row r="64" customFormat="false" ht="15" hidden="false" customHeight="true" outlineLevel="0" collapsed="false">
      <c r="B64" s="16" t="str">
        <f aca="false">T2_Country</f>
        <v>India</v>
      </c>
      <c r="C64" s="16" t="str">
        <f aca="false">Calc_T2!$H$1</f>
        <v>South Asia</v>
      </c>
      <c r="D64" s="16" t="n">
        <v>2020</v>
      </c>
      <c r="E64" s="16" t="n">
        <f aca="false">SUMIFS(Data!$F:$F,Data!$A:$A,T2_Country,Data!$C:$C,$D64)</f>
        <v>42.7</v>
      </c>
      <c r="F64" s="16" t="n">
        <f aca="false">SUMIFS(Data!$G:$G,Data!$A:$A,T2_Country,Data!$C:$C,$D64)</f>
        <v>55.19</v>
      </c>
      <c r="G64" s="16" t="n">
        <f aca="false">SUMIFS(Data!$H:$H,Data!$A:$A,T2_Country,Data!$C:$C,$D64)</f>
        <v>52.52</v>
      </c>
      <c r="H64" s="16" t="n">
        <f aca="false">SUMIFS(Data!$I:$I,Data!$A:$A,T2_Country,Data!$C:$C,$D64)</f>
        <v>53.58</v>
      </c>
      <c r="I64" s="16" t="n">
        <f aca="false">SUMIFS(Data!$J:$J,Data!$A:$A,T2_Country,Data!$C:$C,$D64)</f>
        <v>51</v>
      </c>
      <c r="J64" s="16" t="n">
        <f aca="false">SUMIFS(Data!$K:$K,Data!$A:$A,T2_Country,Data!$C:$C,$D64)</f>
        <v>49</v>
      </c>
      <c r="K64" s="16" t="str">
        <f aca="false">IF($J64&gt;65,"High Risk",IF($J64&gt;=40,"Medium Risk","Low Risk"))</f>
        <v>Medium Risk</v>
      </c>
    </row>
    <row r="65" customFormat="false" ht="15" hidden="false" customHeight="true" outlineLevel="0" collapsed="false">
      <c r="B65" s="16" t="str">
        <f aca="false">T2_Country</f>
        <v>India</v>
      </c>
      <c r="C65" s="16" t="str">
        <f aca="false">Calc_T2!$H$1</f>
        <v>South Asia</v>
      </c>
      <c r="D65" s="16" t="n">
        <v>2021</v>
      </c>
      <c r="E65" s="16" t="n">
        <f aca="false">SUMIFS(Data!$F:$F,Data!$A:$A,T2_Country,Data!$C:$C,$D65)</f>
        <v>41.77</v>
      </c>
      <c r="F65" s="16" t="n">
        <f aca="false">SUMIFS(Data!$G:$G,Data!$A:$A,T2_Country,Data!$C:$C,$D65)</f>
        <v>53.8</v>
      </c>
      <c r="G65" s="16" t="n">
        <f aca="false">SUMIFS(Data!$H:$H,Data!$A:$A,T2_Country,Data!$C:$C,$D65)</f>
        <v>52.18</v>
      </c>
      <c r="H65" s="16" t="n">
        <f aca="false">SUMIFS(Data!$I:$I,Data!$A:$A,T2_Country,Data!$C:$C,$D65)</f>
        <v>55.62</v>
      </c>
      <c r="I65" s="16" t="n">
        <f aca="false">SUMIFS(Data!$J:$J,Data!$A:$A,T2_Country,Data!$C:$C,$D65)</f>
        <v>50.84</v>
      </c>
      <c r="J65" s="16" t="n">
        <f aca="false">SUMIFS(Data!$K:$K,Data!$A:$A,T2_Country,Data!$C:$C,$D65)</f>
        <v>49.16</v>
      </c>
      <c r="K65" s="16" t="str">
        <f aca="false">IF($J65&gt;65,"High Risk",IF($J65&gt;=40,"Medium Risk","Low Risk"))</f>
        <v>Medium Risk</v>
      </c>
    </row>
    <row r="66" customFormat="false" ht="15" hidden="false" customHeight="true" outlineLevel="0" collapsed="false">
      <c r="B66" s="16" t="str">
        <f aca="false">T2_Country</f>
        <v>India</v>
      </c>
      <c r="C66" s="16" t="str">
        <f aca="false">Calc_T2!$H$1</f>
        <v>South Asia</v>
      </c>
      <c r="D66" s="16" t="n">
        <v>2022</v>
      </c>
      <c r="E66" s="16" t="n">
        <f aca="false">SUMIFS(Data!$F:$F,Data!$A:$A,T2_Country,Data!$C:$C,$D66)</f>
        <v>41.93</v>
      </c>
      <c r="F66" s="16" t="n">
        <f aca="false">SUMIFS(Data!$G:$G,Data!$A:$A,T2_Country,Data!$C:$C,$D66)</f>
        <v>55.06</v>
      </c>
      <c r="G66" s="16" t="n">
        <f aca="false">SUMIFS(Data!$H:$H,Data!$A:$A,T2_Country,Data!$C:$C,$D66)</f>
        <v>53.48</v>
      </c>
      <c r="H66" s="16" t="n">
        <f aca="false">SUMIFS(Data!$I:$I,Data!$A:$A,T2_Country,Data!$C:$C,$D66)</f>
        <v>53.02</v>
      </c>
      <c r="I66" s="16" t="n">
        <f aca="false">SUMIFS(Data!$J:$J,Data!$A:$A,T2_Country,Data!$C:$C,$D66)</f>
        <v>50.88</v>
      </c>
      <c r="J66" s="16" t="n">
        <f aca="false">SUMIFS(Data!$K:$K,Data!$A:$A,T2_Country,Data!$C:$C,$D66)</f>
        <v>49.12</v>
      </c>
      <c r="K66" s="16" t="str">
        <f aca="false">IF($J66&gt;65,"High Risk",IF($J66&gt;=40,"Medium Risk","Low Risk"))</f>
        <v>Medium Risk</v>
      </c>
    </row>
    <row r="67" customFormat="false" ht="15" hidden="false" customHeight="true" outlineLevel="0" collapsed="false">
      <c r="B67" s="16" t="str">
        <f aca="false">T2_Country</f>
        <v>India</v>
      </c>
      <c r="C67" s="16" t="str">
        <f aca="false">Calc_T2!$H$1</f>
        <v>South Asia</v>
      </c>
      <c r="D67" s="16" t="n">
        <v>2023</v>
      </c>
      <c r="E67" s="16" t="n">
        <f aca="false">SUMIFS(Data!$F:$F,Data!$A:$A,T2_Country,Data!$C:$C,$D67)</f>
        <v>41.07</v>
      </c>
      <c r="F67" s="16" t="n">
        <f aca="false">SUMIFS(Data!$G:$G,Data!$A:$A,T2_Country,Data!$C:$C,$D67)</f>
        <v>55.45</v>
      </c>
      <c r="G67" s="16" t="n">
        <f aca="false">SUMIFS(Data!$H:$H,Data!$A:$A,T2_Country,Data!$C:$C,$D67)</f>
        <v>52.86</v>
      </c>
      <c r="H67" s="16" t="n">
        <f aca="false">SUMIFS(Data!$I:$I,Data!$A:$A,T2_Country,Data!$C:$C,$D67)</f>
        <v>51.58</v>
      </c>
      <c r="I67" s="16" t="n">
        <f aca="false">SUMIFS(Data!$J:$J,Data!$A:$A,T2_Country,Data!$C:$C,$D67)</f>
        <v>50.24</v>
      </c>
      <c r="J67" s="16" t="n">
        <f aca="false">SUMIFS(Data!$K:$K,Data!$A:$A,T2_Country,Data!$C:$C,$D67)</f>
        <v>49.76</v>
      </c>
      <c r="K67" s="16" t="str">
        <f aca="false">IF($J67&gt;65,"High Risk",IF($J67&gt;=40,"Medium Risk","Low Risk"))</f>
        <v>Medium Risk</v>
      </c>
    </row>
    <row r="68" customFormat="false" ht="15" hidden="false" customHeight="true" outlineLevel="0" collapsed="false">
      <c r="B68" s="16" t="str">
        <f aca="false">T2_Country</f>
        <v>India</v>
      </c>
      <c r="C68" s="16" t="str">
        <f aca="false">Calc_T2!$H$1</f>
        <v>South Asia</v>
      </c>
      <c r="D68" s="16" t="n">
        <v>2024</v>
      </c>
      <c r="E68" s="16" t="n">
        <f aca="false">SUMIFS(Data!$F:$F,Data!$A:$A,T2_Country,Data!$C:$C,$D68)</f>
        <v>41.88</v>
      </c>
      <c r="F68" s="16" t="n">
        <f aca="false">SUMIFS(Data!$G:$G,Data!$A:$A,T2_Country,Data!$C:$C,$D68)</f>
        <v>56.29</v>
      </c>
      <c r="G68" s="16" t="n">
        <f aca="false">SUMIFS(Data!$H:$H,Data!$A:$A,T2_Country,Data!$C:$C,$D68)</f>
        <v>53.35</v>
      </c>
      <c r="H68" s="16" t="n">
        <f aca="false">SUMIFS(Data!$I:$I,Data!$A:$A,T2_Country,Data!$C:$C,$D68)</f>
        <v>52.47</v>
      </c>
      <c r="I68" s="16" t="n">
        <f aca="false">SUMIFS(Data!$J:$J,Data!$A:$A,T2_Country,Data!$C:$C,$D68)</f>
        <v>51</v>
      </c>
      <c r="J68" s="16" t="n">
        <f aca="false">SUMIFS(Data!$K:$K,Data!$A:$A,T2_Country,Data!$C:$C,$D68)</f>
        <v>49</v>
      </c>
      <c r="K68" s="16" t="str">
        <f aca="false">IF($J68&gt;65,"High Risk",IF($J68&gt;=40,"Medium Risk","Low Risk"))</f>
        <v>Medium Risk</v>
      </c>
    </row>
  </sheetData>
  <mergeCells count="10">
    <mergeCell ref="B1:S1"/>
    <mergeCell ref="B2:S2"/>
    <mergeCell ref="B7:D7"/>
    <mergeCell ref="E7:G7"/>
    <mergeCell ref="H7:J7"/>
    <mergeCell ref="K7:M7"/>
    <mergeCell ref="B8:D8"/>
    <mergeCell ref="E8:G8"/>
    <mergeCell ref="H8:J8"/>
    <mergeCell ref="K8:M8"/>
  </mergeCells>
  <dataValidations count="3">
    <dataValidation allowBlank="false" errorStyle="stop" operator="between" showDropDown="false" showErrorMessage="false" showInputMessage="false" sqref="C5" type="list">
      <formula1>CountryMeta!$A$2:$A$36</formula1>
      <formula2>0</formula2>
    </dataValidation>
    <dataValidation allowBlank="false" errorStyle="stop" operator="between" showDropDown="false" showErrorMessage="false" showInputMessage="false" sqref="F5" type="list">
      <formula1>Lookups!$C$2:$C$13</formula1>
      <formula2>0</formula2>
    </dataValidation>
    <dataValidation allowBlank="false" errorStyle="stop" operator="between" showDropDown="false" showErrorMessage="false" showInputMessage="false" sqref="I5" type="list">
      <formula1>Lookups!$C$2:$C$13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O4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15" min="2" style="1" width="16"/>
  </cols>
  <sheetData>
    <row r="1" customFormat="false" ht="15" hidden="false" customHeight="true" outlineLevel="0" collapsed="false">
      <c r="A1" s="18" t="s">
        <v>66</v>
      </c>
      <c r="B1" s="18" t="s">
        <v>67</v>
      </c>
      <c r="C1" s="18" t="s">
        <v>40</v>
      </c>
      <c r="D1" s="18" t="s">
        <v>30</v>
      </c>
      <c r="E1" s="18" t="s">
        <v>68</v>
      </c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73</v>
      </c>
      <c r="K1" s="18" t="s">
        <v>74</v>
      </c>
      <c r="L1" s="18" t="s">
        <v>75</v>
      </c>
      <c r="M1" s="18" t="s">
        <v>76</v>
      </c>
      <c r="N1" s="18" t="s">
        <v>77</v>
      </c>
      <c r="O1" s="18" t="s">
        <v>78</v>
      </c>
    </row>
    <row r="2" customFormat="false" ht="15" hidden="false" customHeight="true" outlineLevel="0" collapsed="false">
      <c r="A2" s="1" t="s">
        <v>79</v>
      </c>
      <c r="B2" s="1" t="s">
        <v>80</v>
      </c>
      <c r="C2" s="1" t="n">
        <v>2013</v>
      </c>
      <c r="D2" s="1" t="s">
        <v>81</v>
      </c>
      <c r="E2" s="1" t="s">
        <v>82</v>
      </c>
      <c r="F2" s="1" t="n">
        <v>37.38</v>
      </c>
      <c r="G2" s="1" t="n">
        <v>47.05</v>
      </c>
      <c r="H2" s="1" t="n">
        <v>41.69</v>
      </c>
      <c r="I2" s="1" t="n">
        <v>66.45</v>
      </c>
      <c r="J2" s="1" t="n">
        <v>48.14</v>
      </c>
      <c r="K2" s="1" t="n">
        <v>51.86</v>
      </c>
      <c r="L2" s="1" t="s">
        <v>37</v>
      </c>
      <c r="M2" s="1" t="n">
        <v>12963.68</v>
      </c>
      <c r="N2" s="1" t="str">
        <f aca="false">IF(K2&gt;65,"High Risk",IF(K2&gt;=40,"Medium Risk","Low Risk"))</f>
        <v>Medium Risk</v>
      </c>
      <c r="O2" s="20" t="b">
        <f aca="false">AND(OR($D2=T1_Region,T1_Region="All Regions"),OR($E2=T1_Income,T1_Income="All Income Groups"))</f>
        <v>1</v>
      </c>
    </row>
    <row r="3" customFormat="false" ht="15" hidden="false" customHeight="true" outlineLevel="0" collapsed="false">
      <c r="A3" s="1" t="s">
        <v>79</v>
      </c>
      <c r="B3" s="1" t="s">
        <v>80</v>
      </c>
      <c r="C3" s="1" t="n">
        <v>2014</v>
      </c>
      <c r="D3" s="1" t="s">
        <v>81</v>
      </c>
      <c r="E3" s="1" t="s">
        <v>82</v>
      </c>
      <c r="F3" s="1" t="n">
        <v>34.37</v>
      </c>
      <c r="G3" s="1" t="n">
        <v>44.4</v>
      </c>
      <c r="H3" s="1" t="n">
        <v>38.89</v>
      </c>
      <c r="I3" s="1" t="n">
        <v>65.67</v>
      </c>
      <c r="J3" s="1" t="n">
        <v>45.83</v>
      </c>
      <c r="K3" s="1" t="n">
        <v>54.17</v>
      </c>
      <c r="L3" s="1" t="s">
        <v>37</v>
      </c>
      <c r="M3" s="1" t="n">
        <v>12233.14</v>
      </c>
      <c r="N3" s="1" t="str">
        <f aca="false">IF(K3&gt;65,"High Risk",IF(K3&gt;=40,"Medium Risk","Low Risk"))</f>
        <v>Medium Risk</v>
      </c>
      <c r="O3" s="20" t="b">
        <f aca="false">AND(OR($D3=T1_Region,T1_Region="All Regions"),OR($E3=T1_Income,T1_Income="All Income Groups"))</f>
        <v>1</v>
      </c>
    </row>
    <row r="4" customFormat="false" ht="15" hidden="false" customHeight="true" outlineLevel="0" collapsed="false">
      <c r="A4" s="1" t="s">
        <v>79</v>
      </c>
      <c r="B4" s="1" t="s">
        <v>80</v>
      </c>
      <c r="C4" s="1" t="n">
        <v>2015</v>
      </c>
      <c r="D4" s="1" t="s">
        <v>81</v>
      </c>
      <c r="E4" s="1" t="s">
        <v>82</v>
      </c>
      <c r="F4" s="1" t="n">
        <v>34.8</v>
      </c>
      <c r="G4" s="1" t="n">
        <v>48.92</v>
      </c>
      <c r="H4" s="1" t="n">
        <v>42.29</v>
      </c>
      <c r="I4" s="1" t="n">
        <v>65.37</v>
      </c>
      <c r="J4" s="1" t="n">
        <v>47.84</v>
      </c>
      <c r="K4" s="1" t="n">
        <v>52.16</v>
      </c>
      <c r="L4" s="1" t="s">
        <v>37</v>
      </c>
      <c r="M4" s="1" t="n">
        <v>13679.63</v>
      </c>
      <c r="N4" s="1" t="str">
        <f aca="false">IF(K4&gt;65,"High Risk",IF(K4&gt;=40,"Medium Risk","Low Risk"))</f>
        <v>Medium Risk</v>
      </c>
      <c r="O4" s="20" t="b">
        <f aca="false">AND(OR($D4=T1_Region,T1_Region="All Regions"),OR($E4=T1_Income,T1_Income="All Income Groups"))</f>
        <v>1</v>
      </c>
    </row>
    <row r="5" customFormat="false" ht="15" hidden="false" customHeight="true" outlineLevel="0" collapsed="false">
      <c r="A5" s="1" t="s">
        <v>79</v>
      </c>
      <c r="B5" s="1" t="s">
        <v>80</v>
      </c>
      <c r="C5" s="1" t="n">
        <v>2016</v>
      </c>
      <c r="D5" s="1" t="s">
        <v>81</v>
      </c>
      <c r="E5" s="1" t="s">
        <v>82</v>
      </c>
      <c r="F5" s="1" t="n">
        <v>43.41</v>
      </c>
      <c r="G5" s="1" t="n">
        <v>52.89</v>
      </c>
      <c r="H5" s="1" t="n">
        <v>50.88</v>
      </c>
      <c r="I5" s="1" t="n">
        <v>69.2</v>
      </c>
      <c r="J5" s="1" t="n">
        <v>54.1</v>
      </c>
      <c r="K5" s="1" t="n">
        <v>45.9</v>
      </c>
      <c r="L5" s="1" t="s">
        <v>37</v>
      </c>
      <c r="M5" s="1" t="n">
        <v>12699.96</v>
      </c>
      <c r="N5" s="1" t="str">
        <f aca="false">IF(K5&gt;65,"High Risk",IF(K5&gt;=40,"Medium Risk","Low Risk"))</f>
        <v>Medium Risk</v>
      </c>
      <c r="O5" s="20" t="b">
        <f aca="false">AND(OR($D5=T1_Region,T1_Region="All Regions"),OR($E5=T1_Income,T1_Income="All Income Groups"))</f>
        <v>1</v>
      </c>
    </row>
    <row r="6" customFormat="false" ht="15" hidden="false" customHeight="true" outlineLevel="0" collapsed="false">
      <c r="A6" s="1" t="s">
        <v>79</v>
      </c>
      <c r="B6" s="1" t="s">
        <v>80</v>
      </c>
      <c r="C6" s="1" t="n">
        <v>2017</v>
      </c>
      <c r="D6" s="1" t="s">
        <v>81</v>
      </c>
      <c r="E6" s="1" t="s">
        <v>82</v>
      </c>
      <c r="F6" s="1" t="n">
        <v>44.25</v>
      </c>
      <c r="G6" s="1" t="n">
        <v>54</v>
      </c>
      <c r="H6" s="1" t="n">
        <v>52.96</v>
      </c>
      <c r="I6" s="1" t="n">
        <v>69.98</v>
      </c>
      <c r="J6" s="1" t="n">
        <v>55.3</v>
      </c>
      <c r="K6" s="1" t="n">
        <v>44.7</v>
      </c>
      <c r="L6" s="1" t="s">
        <v>37</v>
      </c>
      <c r="M6" s="1" t="n">
        <v>14532.5</v>
      </c>
      <c r="N6" s="1" t="str">
        <f aca="false">IF(K6&gt;65,"High Risk",IF(K6&gt;=40,"Medium Risk","Low Risk"))</f>
        <v>Medium Risk</v>
      </c>
      <c r="O6" s="20" t="b">
        <f aca="false">AND(OR($D6=T1_Region,T1_Region="All Regions"),OR($E6=T1_Income,T1_Income="All Income Groups"))</f>
        <v>1</v>
      </c>
    </row>
    <row r="7" customFormat="false" ht="15" hidden="false" customHeight="true" outlineLevel="0" collapsed="false">
      <c r="A7" s="1" t="s">
        <v>79</v>
      </c>
      <c r="B7" s="1" t="s">
        <v>80</v>
      </c>
      <c r="C7" s="1" t="n">
        <v>2018</v>
      </c>
      <c r="D7" s="1" t="s">
        <v>81</v>
      </c>
      <c r="E7" s="1" t="s">
        <v>82</v>
      </c>
      <c r="F7" s="1" t="n">
        <v>47.74</v>
      </c>
      <c r="G7" s="1" t="n">
        <v>53.48</v>
      </c>
      <c r="H7" s="1" t="n">
        <v>51.86</v>
      </c>
      <c r="I7" s="1" t="n">
        <v>67.95</v>
      </c>
      <c r="J7" s="1" t="n">
        <v>55.26</v>
      </c>
      <c r="K7" s="1" t="n">
        <v>44.74</v>
      </c>
      <c r="L7" s="1" t="s">
        <v>37</v>
      </c>
      <c r="M7" s="1" t="n">
        <v>11752.8</v>
      </c>
      <c r="N7" s="1" t="str">
        <f aca="false">IF(K7&gt;65,"High Risk",IF(K7&gt;=40,"Medium Risk","Low Risk"))</f>
        <v>Medium Risk</v>
      </c>
      <c r="O7" s="20" t="b">
        <f aca="false">AND(OR($D7=T1_Region,T1_Region="All Regions"),OR($E7=T1_Income,T1_Income="All Income Groups"))</f>
        <v>1</v>
      </c>
    </row>
    <row r="8" customFormat="false" ht="15" hidden="false" customHeight="true" outlineLevel="0" collapsed="false">
      <c r="A8" s="1" t="s">
        <v>79</v>
      </c>
      <c r="B8" s="1" t="s">
        <v>80</v>
      </c>
      <c r="C8" s="1" t="n">
        <v>2019</v>
      </c>
      <c r="D8" s="1" t="s">
        <v>81</v>
      </c>
      <c r="E8" s="1" t="s">
        <v>82</v>
      </c>
      <c r="F8" s="1" t="n">
        <v>46.14</v>
      </c>
      <c r="G8" s="1" t="n">
        <v>51.15</v>
      </c>
      <c r="H8" s="1" t="n">
        <v>47.78</v>
      </c>
      <c r="I8" s="1" t="n">
        <v>66.87</v>
      </c>
      <c r="J8" s="1" t="n">
        <v>52.98</v>
      </c>
      <c r="K8" s="1" t="n">
        <v>47.02</v>
      </c>
      <c r="L8" s="1" t="s">
        <v>37</v>
      </c>
      <c r="M8" s="1" t="n">
        <v>9955.97</v>
      </c>
      <c r="N8" s="1" t="str">
        <f aca="false">IF(K8&gt;65,"High Risk",IF(K8&gt;=40,"Medium Risk","Low Risk"))</f>
        <v>Medium Risk</v>
      </c>
      <c r="O8" s="20" t="b">
        <f aca="false">AND(OR($D8=T1_Region,T1_Region="All Regions"),OR($E8=T1_Income,T1_Income="All Income Groups"))</f>
        <v>1</v>
      </c>
    </row>
    <row r="9" customFormat="false" ht="15" hidden="false" customHeight="true" outlineLevel="0" collapsed="false">
      <c r="A9" s="1" t="s">
        <v>79</v>
      </c>
      <c r="B9" s="1" t="s">
        <v>80</v>
      </c>
      <c r="C9" s="1" t="n">
        <v>2020</v>
      </c>
      <c r="D9" s="1" t="s">
        <v>81</v>
      </c>
      <c r="E9" s="1" t="s">
        <v>82</v>
      </c>
      <c r="F9" s="1" t="n">
        <v>45.13</v>
      </c>
      <c r="G9" s="1" t="n">
        <v>51.96</v>
      </c>
      <c r="H9" s="1" t="n">
        <v>46.23</v>
      </c>
      <c r="I9" s="1" t="n">
        <v>66.84</v>
      </c>
      <c r="J9" s="1" t="n">
        <v>52.54</v>
      </c>
      <c r="K9" s="1" t="n">
        <v>47.46</v>
      </c>
      <c r="L9" s="1" t="s">
        <v>37</v>
      </c>
      <c r="M9" s="1" t="n">
        <v>8535.6</v>
      </c>
      <c r="N9" s="1" t="str">
        <f aca="false">IF(K9&gt;65,"High Risk",IF(K9&gt;=40,"Medium Risk","Low Risk"))</f>
        <v>Medium Risk</v>
      </c>
      <c r="O9" s="20" t="b">
        <f aca="false">AND(OR($D9=T1_Region,T1_Region="All Regions"),OR($E9=T1_Income,T1_Income="All Income Groups"))</f>
        <v>1</v>
      </c>
    </row>
    <row r="10" customFormat="false" ht="15" hidden="false" customHeight="true" outlineLevel="0" collapsed="false">
      <c r="A10" s="1" t="s">
        <v>79</v>
      </c>
      <c r="B10" s="1" t="s">
        <v>80</v>
      </c>
      <c r="C10" s="1" t="n">
        <v>2021</v>
      </c>
      <c r="D10" s="1" t="s">
        <v>81</v>
      </c>
      <c r="E10" s="1" t="s">
        <v>82</v>
      </c>
      <c r="F10" s="1" t="n">
        <v>41.23</v>
      </c>
      <c r="G10" s="1" t="n">
        <v>51.73</v>
      </c>
      <c r="H10" s="1" t="n">
        <v>45.65</v>
      </c>
      <c r="I10" s="1" t="n">
        <v>67.47</v>
      </c>
      <c r="J10" s="1" t="n">
        <v>51.52</v>
      </c>
      <c r="K10" s="1" t="n">
        <v>48.48</v>
      </c>
      <c r="L10" s="1" t="s">
        <v>37</v>
      </c>
      <c r="M10" s="1" t="n">
        <v>10738.02</v>
      </c>
      <c r="N10" s="1" t="str">
        <f aca="false">IF(K10&gt;65,"High Risk",IF(K10&gt;=40,"Medium Risk","Low Risk"))</f>
        <v>Medium Risk</v>
      </c>
      <c r="O10" s="20" t="b">
        <f aca="false">AND(OR($D10=T1_Region,T1_Region="All Regions"),OR($E10=T1_Income,T1_Income="All Income Groups"))</f>
        <v>1</v>
      </c>
    </row>
    <row r="11" customFormat="false" ht="15" hidden="false" customHeight="true" outlineLevel="0" collapsed="false">
      <c r="A11" s="1" t="s">
        <v>79</v>
      </c>
      <c r="B11" s="1" t="s">
        <v>80</v>
      </c>
      <c r="C11" s="1" t="n">
        <v>2022</v>
      </c>
      <c r="D11" s="1" t="s">
        <v>81</v>
      </c>
      <c r="E11" s="1" t="s">
        <v>82</v>
      </c>
      <c r="F11" s="1" t="n">
        <v>40.97</v>
      </c>
      <c r="G11" s="1" t="n">
        <v>51.95</v>
      </c>
      <c r="H11" s="1" t="n">
        <v>45.73</v>
      </c>
      <c r="I11" s="1" t="n">
        <v>66.88</v>
      </c>
      <c r="J11" s="1" t="n">
        <v>51.38</v>
      </c>
      <c r="K11" s="1" t="n">
        <v>48.62</v>
      </c>
      <c r="L11" s="1" t="s">
        <v>37</v>
      </c>
      <c r="M11" s="1" t="n">
        <v>13962.19</v>
      </c>
      <c r="N11" s="1" t="str">
        <f aca="false">IF(K11&gt;65,"High Risk",IF(K11&gt;=40,"Medium Risk","Low Risk"))</f>
        <v>Medium Risk</v>
      </c>
      <c r="O11" s="20" t="b">
        <f aca="false">AND(OR($D11=T1_Region,T1_Region="All Regions"),OR($E11=T1_Income,T1_Income="All Income Groups"))</f>
        <v>1</v>
      </c>
    </row>
    <row r="12" customFormat="false" ht="15" hidden="false" customHeight="true" outlineLevel="0" collapsed="false">
      <c r="A12" s="1" t="s">
        <v>79</v>
      </c>
      <c r="B12" s="1" t="s">
        <v>80</v>
      </c>
      <c r="C12" s="1" t="n">
        <v>2023</v>
      </c>
      <c r="D12" s="1" t="s">
        <v>81</v>
      </c>
      <c r="E12" s="1" t="s">
        <v>82</v>
      </c>
      <c r="F12" s="1" t="n">
        <v>40.69</v>
      </c>
      <c r="G12" s="1" t="n">
        <v>52.87</v>
      </c>
      <c r="H12" s="1" t="n">
        <v>46.87</v>
      </c>
      <c r="I12" s="1" t="n">
        <v>65.54</v>
      </c>
      <c r="J12" s="1" t="n">
        <v>51.49</v>
      </c>
      <c r="K12" s="1" t="n">
        <v>48.51</v>
      </c>
      <c r="L12" s="1" t="s">
        <v>37</v>
      </c>
      <c r="M12" s="1" t="n">
        <v>14261.85</v>
      </c>
      <c r="N12" s="1" t="str">
        <f aca="false">IF(K12&gt;65,"High Risk",IF(K12&gt;=40,"Medium Risk","Low Risk"))</f>
        <v>Medium Risk</v>
      </c>
      <c r="O12" s="20" t="b">
        <f aca="false">AND(OR($D12=T1_Region,T1_Region="All Regions"),OR($E12=T1_Income,T1_Income="All Income Groups"))</f>
        <v>1</v>
      </c>
    </row>
    <row r="13" customFormat="false" ht="15" hidden="false" customHeight="true" outlineLevel="0" collapsed="false">
      <c r="A13" s="1" t="s">
        <v>79</v>
      </c>
      <c r="B13" s="1" t="s">
        <v>80</v>
      </c>
      <c r="C13" s="1" t="n">
        <v>2024</v>
      </c>
      <c r="D13" s="1" t="s">
        <v>81</v>
      </c>
      <c r="E13" s="1" t="s">
        <v>82</v>
      </c>
      <c r="F13" s="1" t="n">
        <v>41.26</v>
      </c>
      <c r="G13" s="1" t="n">
        <v>52.64</v>
      </c>
      <c r="H13" s="1" t="n">
        <v>51.16</v>
      </c>
      <c r="I13" s="1" t="n">
        <v>62.99</v>
      </c>
      <c r="J13" s="1" t="n">
        <v>52.01</v>
      </c>
      <c r="K13" s="1" t="n">
        <v>47.99</v>
      </c>
      <c r="L13" s="1" t="s">
        <v>37</v>
      </c>
      <c r="M13" s="1" t="n">
        <v>13969.78</v>
      </c>
      <c r="N13" s="1" t="str">
        <f aca="false">IF(K13&gt;65,"High Risk",IF(K13&gt;=40,"Medium Risk","Low Risk"))</f>
        <v>Medium Risk</v>
      </c>
      <c r="O13" s="20" t="b">
        <f aca="false">AND(OR($D13=T1_Region,T1_Region="All Regions"),OR($E13=T1_Income,T1_Income="All Income Groups"))</f>
        <v>1</v>
      </c>
    </row>
    <row r="14" customFormat="false" ht="15" hidden="false" customHeight="true" outlineLevel="0" collapsed="false">
      <c r="A14" s="1" t="s">
        <v>83</v>
      </c>
      <c r="B14" s="1" t="s">
        <v>84</v>
      </c>
      <c r="C14" s="1" t="n">
        <v>2013</v>
      </c>
      <c r="D14" s="1" t="s">
        <v>85</v>
      </c>
      <c r="E14" s="1" t="s">
        <v>86</v>
      </c>
      <c r="F14" s="1" t="n">
        <v>82.87</v>
      </c>
      <c r="G14" s="1" t="n">
        <v>85.12</v>
      </c>
      <c r="H14" s="1" t="n">
        <v>84.52</v>
      </c>
      <c r="I14" s="1" t="n">
        <v>82.23</v>
      </c>
      <c r="J14" s="1" t="n">
        <v>83.69</v>
      </c>
      <c r="K14" s="1" t="n">
        <v>16.31</v>
      </c>
      <c r="L14" s="1" t="s">
        <v>38</v>
      </c>
      <c r="M14" s="1" t="n">
        <v>68476.68</v>
      </c>
      <c r="N14" s="1" t="str">
        <f aca="false">IF(K14&gt;65,"High Risk",IF(K14&gt;=40,"Medium Risk","Low Risk"))</f>
        <v>Low Risk</v>
      </c>
      <c r="O14" s="20" t="b">
        <f aca="false">AND(OR($D14=T1_Region,T1_Region="All Regions"),OR($E14=T1_Income,T1_Income="All Income Groups"))</f>
        <v>1</v>
      </c>
    </row>
    <row r="15" customFormat="false" ht="15" hidden="false" customHeight="true" outlineLevel="0" collapsed="false">
      <c r="A15" s="1" t="s">
        <v>83</v>
      </c>
      <c r="B15" s="1" t="s">
        <v>84</v>
      </c>
      <c r="C15" s="1" t="n">
        <v>2014</v>
      </c>
      <c r="D15" s="1" t="s">
        <v>85</v>
      </c>
      <c r="E15" s="1" t="s">
        <v>86</v>
      </c>
      <c r="F15" s="1" t="n">
        <v>85.57</v>
      </c>
      <c r="G15" s="1" t="n">
        <v>86.78</v>
      </c>
      <c r="H15" s="1" t="n">
        <v>82.41</v>
      </c>
      <c r="I15" s="1" t="n">
        <v>83.31</v>
      </c>
      <c r="J15" s="1" t="n">
        <v>84.52</v>
      </c>
      <c r="K15" s="1" t="n">
        <v>15.48</v>
      </c>
      <c r="L15" s="1" t="s">
        <v>38</v>
      </c>
      <c r="M15" s="1" t="n">
        <v>62817.21</v>
      </c>
      <c r="N15" s="1" t="str">
        <f aca="false">IF(K15&gt;65,"High Risk",IF(K15&gt;=40,"Medium Risk","Low Risk"))</f>
        <v>Low Risk</v>
      </c>
      <c r="O15" s="20" t="b">
        <f aca="false">AND(OR($D15=T1_Region,T1_Region="All Regions"),OR($E15=T1_Income,T1_Income="All Income Groups"))</f>
        <v>1</v>
      </c>
    </row>
    <row r="16" customFormat="false" ht="15" hidden="false" customHeight="true" outlineLevel="0" collapsed="false">
      <c r="A16" s="1" t="s">
        <v>83</v>
      </c>
      <c r="B16" s="1" t="s">
        <v>84</v>
      </c>
      <c r="C16" s="1" t="n">
        <v>2015</v>
      </c>
      <c r="D16" s="1" t="s">
        <v>85</v>
      </c>
      <c r="E16" s="1" t="s">
        <v>86</v>
      </c>
      <c r="F16" s="1" t="n">
        <v>85.39</v>
      </c>
      <c r="G16" s="1" t="n">
        <v>86.53</v>
      </c>
      <c r="H16" s="1" t="n">
        <v>82.3</v>
      </c>
      <c r="I16" s="1" t="n">
        <v>79.62</v>
      </c>
      <c r="J16" s="1" t="n">
        <v>83.46</v>
      </c>
      <c r="K16" s="1" t="n">
        <v>16.54</v>
      </c>
      <c r="L16" s="1" t="s">
        <v>38</v>
      </c>
      <c r="M16" s="1" t="n">
        <v>56970.36</v>
      </c>
      <c r="N16" s="1" t="str">
        <f aca="false">IF(K16&gt;65,"High Risk",IF(K16&gt;=40,"Medium Risk","Low Risk"))</f>
        <v>Low Risk</v>
      </c>
      <c r="O16" s="20" t="b">
        <f aca="false">AND(OR($D16=T1_Region,T1_Region="All Regions"),OR($E16=T1_Income,T1_Income="All Income Groups"))</f>
        <v>1</v>
      </c>
    </row>
    <row r="17" customFormat="false" ht="15" hidden="false" customHeight="true" outlineLevel="0" collapsed="false">
      <c r="A17" s="1" t="s">
        <v>83</v>
      </c>
      <c r="B17" s="1" t="s">
        <v>84</v>
      </c>
      <c r="C17" s="1" t="n">
        <v>2016</v>
      </c>
      <c r="D17" s="1" t="s">
        <v>85</v>
      </c>
      <c r="E17" s="1" t="s">
        <v>86</v>
      </c>
      <c r="F17" s="1" t="n">
        <v>84.18</v>
      </c>
      <c r="G17" s="1" t="n">
        <v>86.72</v>
      </c>
      <c r="H17" s="1" t="n">
        <v>83.47</v>
      </c>
      <c r="I17" s="1" t="n">
        <v>82.19</v>
      </c>
      <c r="J17" s="1" t="n">
        <v>84.14</v>
      </c>
      <c r="K17" s="1" t="n">
        <v>15.86</v>
      </c>
      <c r="L17" s="1" t="s">
        <v>38</v>
      </c>
      <c r="M17" s="1" t="n">
        <v>50084.44</v>
      </c>
      <c r="N17" s="1" t="str">
        <f aca="false">IF(K17&gt;65,"High Risk",IF(K17&gt;=40,"Medium Risk","Low Risk"))</f>
        <v>Low Risk</v>
      </c>
      <c r="O17" s="20" t="b">
        <f aca="false">AND(OR($D17=T1_Region,T1_Region="All Regions"),OR($E17=T1_Income,T1_Income="All Income Groups"))</f>
        <v>1</v>
      </c>
    </row>
    <row r="18" customFormat="false" ht="15" hidden="false" customHeight="true" outlineLevel="0" collapsed="false">
      <c r="A18" s="1" t="s">
        <v>83</v>
      </c>
      <c r="B18" s="1" t="s">
        <v>84</v>
      </c>
      <c r="C18" s="1" t="n">
        <v>2017</v>
      </c>
      <c r="D18" s="1" t="s">
        <v>85</v>
      </c>
      <c r="E18" s="1" t="s">
        <v>86</v>
      </c>
      <c r="F18" s="1" t="n">
        <v>84.17</v>
      </c>
      <c r="G18" s="1" t="n">
        <v>84.91</v>
      </c>
      <c r="H18" s="1" t="n">
        <v>83.66</v>
      </c>
      <c r="I18" s="1" t="n">
        <v>79.27</v>
      </c>
      <c r="J18" s="1" t="n">
        <v>83</v>
      </c>
      <c r="K18" s="1" t="n">
        <v>17</v>
      </c>
      <c r="L18" s="1" t="s">
        <v>38</v>
      </c>
      <c r="M18" s="1" t="n">
        <v>54117.55</v>
      </c>
      <c r="N18" s="1" t="str">
        <f aca="false">IF(K18&gt;65,"High Risk",IF(K18&gt;=40,"Medium Risk","Low Risk"))</f>
        <v>Low Risk</v>
      </c>
      <c r="O18" s="20" t="b">
        <f aca="false">AND(OR($D18=T1_Region,T1_Region="All Regions"),OR($E18=T1_Income,T1_Income="All Income Groups"))</f>
        <v>1</v>
      </c>
    </row>
    <row r="19" customFormat="false" ht="15" hidden="false" customHeight="true" outlineLevel="0" collapsed="false">
      <c r="A19" s="1" t="s">
        <v>83</v>
      </c>
      <c r="B19" s="1" t="s">
        <v>84</v>
      </c>
      <c r="C19" s="1" t="n">
        <v>2018</v>
      </c>
      <c r="D19" s="1" t="s">
        <v>85</v>
      </c>
      <c r="E19" s="1" t="s">
        <v>86</v>
      </c>
      <c r="F19" s="1" t="n">
        <v>83.65</v>
      </c>
      <c r="G19" s="1" t="n">
        <v>85.12</v>
      </c>
      <c r="H19" s="1" t="n">
        <v>83.7</v>
      </c>
      <c r="I19" s="1" t="n">
        <v>81</v>
      </c>
      <c r="J19" s="1" t="n">
        <v>83.37</v>
      </c>
      <c r="K19" s="1" t="n">
        <v>16.63</v>
      </c>
      <c r="L19" s="1" t="s">
        <v>38</v>
      </c>
      <c r="M19" s="1" t="n">
        <v>57410.17</v>
      </c>
      <c r="N19" s="1" t="str">
        <f aca="false">IF(K19&gt;65,"High Risk",IF(K19&gt;=40,"Medium Risk","Low Risk"))</f>
        <v>Low Risk</v>
      </c>
      <c r="O19" s="20" t="b">
        <f aca="false">AND(OR($D19=T1_Region,T1_Region="All Regions"),OR($E19=T1_Income,T1_Income="All Income Groups"))</f>
        <v>1</v>
      </c>
    </row>
    <row r="20" customFormat="false" ht="15" hidden="false" customHeight="true" outlineLevel="0" collapsed="false">
      <c r="A20" s="1" t="s">
        <v>83</v>
      </c>
      <c r="B20" s="1" t="s">
        <v>84</v>
      </c>
      <c r="C20" s="1" t="n">
        <v>2019</v>
      </c>
      <c r="D20" s="1" t="s">
        <v>85</v>
      </c>
      <c r="E20" s="1" t="s">
        <v>86</v>
      </c>
      <c r="F20" s="1" t="n">
        <v>84.02</v>
      </c>
      <c r="G20" s="1" t="n">
        <v>85.09</v>
      </c>
      <c r="H20" s="1" t="n">
        <v>83.99</v>
      </c>
      <c r="I20" s="1" t="n">
        <v>80.34</v>
      </c>
      <c r="J20" s="1" t="n">
        <v>83.36</v>
      </c>
      <c r="K20" s="1" t="n">
        <v>16.64</v>
      </c>
      <c r="L20" s="1" t="s">
        <v>38</v>
      </c>
      <c r="M20" s="1" t="n">
        <v>55194.76</v>
      </c>
      <c r="N20" s="1" t="str">
        <f aca="false">IF(K20&gt;65,"High Risk",IF(K20&gt;=40,"Medium Risk","Low Risk"))</f>
        <v>Low Risk</v>
      </c>
      <c r="O20" s="20" t="b">
        <f aca="false">AND(OR($D20=T1_Region,T1_Region="All Regions"),OR($E20=T1_Income,T1_Income="All Income Groups"))</f>
        <v>1</v>
      </c>
    </row>
    <row r="21" customFormat="false" ht="15" hidden="false" customHeight="true" outlineLevel="0" collapsed="false">
      <c r="A21" s="1" t="s">
        <v>83</v>
      </c>
      <c r="B21" s="1" t="s">
        <v>84</v>
      </c>
      <c r="C21" s="1" t="n">
        <v>2020</v>
      </c>
      <c r="D21" s="1" t="s">
        <v>85</v>
      </c>
      <c r="E21" s="1" t="s">
        <v>86</v>
      </c>
      <c r="F21" s="1" t="n">
        <v>80.32</v>
      </c>
      <c r="G21" s="1" t="n">
        <v>83.68</v>
      </c>
      <c r="H21" s="1" t="n">
        <v>82.75</v>
      </c>
      <c r="I21" s="1" t="n">
        <v>81.03</v>
      </c>
      <c r="J21" s="1" t="n">
        <v>81.94</v>
      </c>
      <c r="K21" s="1" t="n">
        <v>18.06</v>
      </c>
      <c r="L21" s="1" t="s">
        <v>38</v>
      </c>
      <c r="M21" s="1" t="n">
        <v>51983.45</v>
      </c>
      <c r="N21" s="1" t="str">
        <f aca="false">IF(K21&gt;65,"High Risk",IF(K21&gt;=40,"Medium Risk","Low Risk"))</f>
        <v>Low Risk</v>
      </c>
      <c r="O21" s="20" t="b">
        <f aca="false">AND(OR($D21=T1_Region,T1_Region="All Regions"),OR($E21=T1_Income,T1_Income="All Income Groups"))</f>
        <v>1</v>
      </c>
    </row>
    <row r="22" customFormat="false" ht="15" hidden="false" customHeight="true" outlineLevel="0" collapsed="false">
      <c r="A22" s="1" t="s">
        <v>83</v>
      </c>
      <c r="B22" s="1" t="s">
        <v>84</v>
      </c>
      <c r="C22" s="1" t="n">
        <v>2021</v>
      </c>
      <c r="D22" s="1" t="s">
        <v>85</v>
      </c>
      <c r="E22" s="1" t="s">
        <v>86</v>
      </c>
      <c r="F22" s="1" t="n">
        <v>81.8</v>
      </c>
      <c r="G22" s="1" t="n">
        <v>83.99</v>
      </c>
      <c r="H22" s="1" t="n">
        <v>83.03</v>
      </c>
      <c r="I22" s="1" t="n">
        <v>80.48</v>
      </c>
      <c r="J22" s="1" t="n">
        <v>82.32</v>
      </c>
      <c r="K22" s="1" t="n">
        <v>17.68</v>
      </c>
      <c r="L22" s="1" t="s">
        <v>38</v>
      </c>
      <c r="M22" s="1" t="n">
        <v>60758.9</v>
      </c>
      <c r="N22" s="1" t="str">
        <f aca="false">IF(K22&gt;65,"High Risk",IF(K22&gt;=40,"Medium Risk","Low Risk"))</f>
        <v>Low Risk</v>
      </c>
      <c r="O22" s="20" t="b">
        <f aca="false">AND(OR($D22=T1_Region,T1_Region="All Regions"),OR($E22=T1_Income,T1_Income="All Income Groups"))</f>
        <v>1</v>
      </c>
    </row>
    <row r="23" customFormat="false" ht="15" hidden="false" customHeight="true" outlineLevel="0" collapsed="false">
      <c r="A23" s="1" t="s">
        <v>83</v>
      </c>
      <c r="B23" s="1" t="s">
        <v>84</v>
      </c>
      <c r="C23" s="1" t="n">
        <v>2022</v>
      </c>
      <c r="D23" s="1" t="s">
        <v>85</v>
      </c>
      <c r="E23" s="1" t="s">
        <v>86</v>
      </c>
      <c r="F23" s="1" t="n">
        <v>82.85</v>
      </c>
      <c r="G23" s="1" t="n">
        <v>82.3</v>
      </c>
      <c r="H23" s="1" t="n">
        <v>83.26</v>
      </c>
      <c r="I23" s="1" t="n">
        <v>81.29</v>
      </c>
      <c r="J23" s="1" t="n">
        <v>82.42</v>
      </c>
      <c r="K23" s="1" t="n">
        <v>17.58</v>
      </c>
      <c r="L23" s="1" t="s">
        <v>38</v>
      </c>
      <c r="M23" s="1" t="n">
        <v>65169.52</v>
      </c>
      <c r="N23" s="1" t="str">
        <f aca="false">IF(K23&gt;65,"High Risk",IF(K23&gt;=40,"Medium Risk","Low Risk"))</f>
        <v>Low Risk</v>
      </c>
      <c r="O23" s="20" t="b">
        <f aca="false">AND(OR($D23=T1_Region,T1_Region="All Regions"),OR($E23=T1_Income,T1_Income="All Income Groups"))</f>
        <v>1</v>
      </c>
    </row>
    <row r="24" customFormat="false" ht="15" hidden="false" customHeight="true" outlineLevel="0" collapsed="false">
      <c r="A24" s="1" t="s">
        <v>83</v>
      </c>
      <c r="B24" s="1" t="s">
        <v>84</v>
      </c>
      <c r="C24" s="1" t="n">
        <v>2023</v>
      </c>
      <c r="D24" s="1" t="s">
        <v>85</v>
      </c>
      <c r="E24" s="1" t="s">
        <v>86</v>
      </c>
      <c r="F24" s="1" t="n">
        <v>84.41</v>
      </c>
      <c r="G24" s="1" t="n">
        <v>82.84</v>
      </c>
      <c r="H24" s="1" t="n">
        <v>83.46</v>
      </c>
      <c r="I24" s="1" t="n">
        <v>81.7</v>
      </c>
      <c r="J24" s="1" t="n">
        <v>83.1</v>
      </c>
      <c r="K24" s="1" t="n">
        <v>16.9</v>
      </c>
      <c r="L24" s="1" t="s">
        <v>38</v>
      </c>
      <c r="M24" s="1" t="n">
        <v>65058.38</v>
      </c>
      <c r="N24" s="1" t="str">
        <f aca="false">IF(K24&gt;65,"High Risk",IF(K24&gt;=40,"Medium Risk","Low Risk"))</f>
        <v>Low Risk</v>
      </c>
      <c r="O24" s="20" t="b">
        <f aca="false">AND(OR($D24=T1_Region,T1_Region="All Regions"),OR($E24=T1_Income,T1_Income="All Income Groups"))</f>
        <v>1</v>
      </c>
    </row>
    <row r="25" customFormat="false" ht="15" hidden="false" customHeight="true" outlineLevel="0" collapsed="false">
      <c r="A25" s="1" t="s">
        <v>83</v>
      </c>
      <c r="B25" s="1" t="s">
        <v>84</v>
      </c>
      <c r="C25" s="1" t="n">
        <v>2024</v>
      </c>
      <c r="D25" s="1" t="s">
        <v>85</v>
      </c>
      <c r="E25" s="1" t="s">
        <v>86</v>
      </c>
      <c r="F25" s="1" t="n">
        <v>85.34</v>
      </c>
      <c r="G25" s="1" t="n">
        <v>82.27</v>
      </c>
      <c r="H25" s="1" t="n">
        <v>82.03</v>
      </c>
      <c r="I25" s="1" t="n">
        <v>79.44</v>
      </c>
      <c r="J25" s="1" t="n">
        <v>82.27</v>
      </c>
      <c r="K25" s="1" t="n">
        <v>17.73</v>
      </c>
      <c r="L25" s="1" t="s">
        <v>38</v>
      </c>
      <c r="M25" s="1" t="n">
        <v>64609.99</v>
      </c>
      <c r="N25" s="1" t="str">
        <f aca="false">IF(K25&gt;65,"High Risk",IF(K25&gt;=40,"Medium Risk","Low Risk"))</f>
        <v>Low Risk</v>
      </c>
      <c r="O25" s="20" t="b">
        <f aca="false">AND(OR($D25=T1_Region,T1_Region="All Regions"),OR($E25=T1_Income,T1_Income="All Income Groups"))</f>
        <v>1</v>
      </c>
    </row>
    <row r="26" customFormat="false" ht="15" hidden="false" customHeight="true" outlineLevel="0" collapsed="false">
      <c r="A26" s="1" t="s">
        <v>87</v>
      </c>
      <c r="B26" s="1" t="s">
        <v>88</v>
      </c>
      <c r="C26" s="1" t="n">
        <v>2013</v>
      </c>
      <c r="D26" s="1" t="s">
        <v>89</v>
      </c>
      <c r="E26" s="1" t="s">
        <v>90</v>
      </c>
      <c r="F26" s="1" t="n">
        <v>24.93</v>
      </c>
      <c r="G26" s="1" t="n">
        <v>40.19</v>
      </c>
      <c r="H26" s="1" t="n">
        <v>39.89</v>
      </c>
      <c r="I26" s="1" t="n">
        <v>35.63</v>
      </c>
      <c r="J26" s="1" t="n">
        <v>35.16</v>
      </c>
      <c r="K26" s="1" t="n">
        <v>64.84</v>
      </c>
      <c r="L26" s="1" t="s">
        <v>37</v>
      </c>
      <c r="M26" s="1" t="n">
        <v>958.26</v>
      </c>
      <c r="N26" s="1" t="str">
        <f aca="false">IF(K26&gt;65,"High Risk",IF(K26&gt;=40,"Medium Risk","Low Risk"))</f>
        <v>Medium Risk</v>
      </c>
      <c r="O26" s="20" t="b">
        <f aca="false">AND(OR($D26=T1_Region,T1_Region="All Regions"),OR($E26=T1_Income,T1_Income="All Income Groups"))</f>
        <v>1</v>
      </c>
    </row>
    <row r="27" customFormat="false" ht="15" hidden="false" customHeight="true" outlineLevel="0" collapsed="false">
      <c r="A27" s="1" t="s">
        <v>87</v>
      </c>
      <c r="B27" s="1" t="s">
        <v>88</v>
      </c>
      <c r="C27" s="1" t="n">
        <v>2014</v>
      </c>
      <c r="D27" s="1" t="s">
        <v>89</v>
      </c>
      <c r="E27" s="1" t="s">
        <v>90</v>
      </c>
      <c r="F27" s="1" t="n">
        <v>23.88</v>
      </c>
      <c r="G27" s="1" t="n">
        <v>42.3</v>
      </c>
      <c r="H27" s="1" t="n">
        <v>40.72</v>
      </c>
      <c r="I27" s="1" t="n">
        <v>47.94</v>
      </c>
      <c r="J27" s="1" t="n">
        <v>38.71</v>
      </c>
      <c r="K27" s="1" t="n">
        <v>61.29</v>
      </c>
      <c r="L27" s="1" t="s">
        <v>37</v>
      </c>
      <c r="M27" s="1" t="n">
        <v>1094.46</v>
      </c>
      <c r="N27" s="1" t="str">
        <f aca="false">IF(K27&gt;65,"High Risk",IF(K27&gt;=40,"Medium Risk","Low Risk"))</f>
        <v>Medium Risk</v>
      </c>
      <c r="O27" s="20" t="b">
        <f aca="false">AND(OR($D27=T1_Region,T1_Region="All Regions"),OR($E27=T1_Income,T1_Income="All Income Groups"))</f>
        <v>1</v>
      </c>
    </row>
    <row r="28" customFormat="false" ht="15" hidden="false" customHeight="true" outlineLevel="0" collapsed="false">
      <c r="A28" s="1" t="s">
        <v>87</v>
      </c>
      <c r="B28" s="1" t="s">
        <v>88</v>
      </c>
      <c r="C28" s="1" t="n">
        <v>2015</v>
      </c>
      <c r="D28" s="1" t="s">
        <v>89</v>
      </c>
      <c r="E28" s="1" t="s">
        <v>90</v>
      </c>
      <c r="F28" s="1" t="n">
        <v>26</v>
      </c>
      <c r="G28" s="1" t="n">
        <v>42.22</v>
      </c>
      <c r="H28" s="1" t="n">
        <v>42.61</v>
      </c>
      <c r="I28" s="1" t="n">
        <v>43.15</v>
      </c>
      <c r="J28" s="1" t="n">
        <v>38.49</v>
      </c>
      <c r="K28" s="1" t="n">
        <v>61.51</v>
      </c>
      <c r="L28" s="1" t="s">
        <v>37</v>
      </c>
      <c r="M28" s="1" t="n">
        <v>1224.39</v>
      </c>
      <c r="N28" s="1" t="str">
        <f aca="false">IF(K28&gt;65,"High Risk",IF(K28&gt;=40,"Medium Risk","Low Risk"))</f>
        <v>Medium Risk</v>
      </c>
      <c r="O28" s="20" t="b">
        <f aca="false">AND(OR($D28=T1_Region,T1_Region="All Regions"),OR($E28=T1_Income,T1_Income="All Income Groups"))</f>
        <v>1</v>
      </c>
    </row>
    <row r="29" customFormat="false" ht="15" hidden="false" customHeight="true" outlineLevel="0" collapsed="false">
      <c r="A29" s="1" t="s">
        <v>87</v>
      </c>
      <c r="B29" s="1" t="s">
        <v>88</v>
      </c>
      <c r="C29" s="1" t="n">
        <v>2016</v>
      </c>
      <c r="D29" s="1" t="s">
        <v>89</v>
      </c>
      <c r="E29" s="1" t="s">
        <v>90</v>
      </c>
      <c r="F29" s="1" t="n">
        <v>26.26</v>
      </c>
      <c r="G29" s="1" t="n">
        <v>41.36</v>
      </c>
      <c r="H29" s="1" t="n">
        <v>42.89</v>
      </c>
      <c r="I29" s="1" t="n">
        <v>42.98</v>
      </c>
      <c r="J29" s="1" t="n">
        <v>38.37</v>
      </c>
      <c r="K29" s="1" t="n">
        <v>61.63</v>
      </c>
      <c r="L29" s="1" t="s">
        <v>37</v>
      </c>
      <c r="M29" s="1" t="n">
        <v>1649.28</v>
      </c>
      <c r="N29" s="1" t="str">
        <f aca="false">IF(K29&gt;65,"High Risk",IF(K29&gt;=40,"Medium Risk","Low Risk"))</f>
        <v>Medium Risk</v>
      </c>
      <c r="O29" s="20" t="b">
        <f aca="false">AND(OR($D29=T1_Region,T1_Region="All Regions"),OR($E29=T1_Income,T1_Income="All Income Groups"))</f>
        <v>1</v>
      </c>
    </row>
    <row r="30" customFormat="false" ht="15" hidden="false" customHeight="true" outlineLevel="0" collapsed="false">
      <c r="A30" s="1" t="s">
        <v>87</v>
      </c>
      <c r="B30" s="1" t="s">
        <v>88</v>
      </c>
      <c r="C30" s="1" t="n">
        <v>2017</v>
      </c>
      <c r="D30" s="1" t="s">
        <v>89</v>
      </c>
      <c r="E30" s="1" t="s">
        <v>90</v>
      </c>
      <c r="F30" s="1" t="n">
        <v>26.35</v>
      </c>
      <c r="G30" s="1" t="n">
        <v>41.06</v>
      </c>
      <c r="H30" s="1" t="n">
        <v>43.14</v>
      </c>
      <c r="I30" s="1" t="n">
        <v>43.19</v>
      </c>
      <c r="J30" s="1" t="n">
        <v>38.44</v>
      </c>
      <c r="K30" s="1" t="n">
        <v>61.56</v>
      </c>
      <c r="L30" s="1" t="s">
        <v>37</v>
      </c>
      <c r="M30" s="1" t="n">
        <v>1811.08</v>
      </c>
      <c r="N30" s="1" t="str">
        <f aca="false">IF(K30&gt;65,"High Risk",IF(K30&gt;=40,"Medium Risk","Low Risk"))</f>
        <v>Medium Risk</v>
      </c>
      <c r="O30" s="20" t="b">
        <f aca="false">AND(OR($D30=T1_Region,T1_Region="All Regions"),OR($E30=T1_Income,T1_Income="All Income Groups"))</f>
        <v>1</v>
      </c>
    </row>
    <row r="31" customFormat="false" ht="15" hidden="false" customHeight="true" outlineLevel="0" collapsed="false">
      <c r="A31" s="1" t="s">
        <v>87</v>
      </c>
      <c r="B31" s="1" t="s">
        <v>88</v>
      </c>
      <c r="C31" s="1" t="n">
        <v>2018</v>
      </c>
      <c r="D31" s="1" t="s">
        <v>89</v>
      </c>
      <c r="E31" s="1" t="s">
        <v>90</v>
      </c>
      <c r="F31" s="1" t="n">
        <v>25.66</v>
      </c>
      <c r="G31" s="1" t="n">
        <v>41.31</v>
      </c>
      <c r="H31" s="1" t="n">
        <v>42.47</v>
      </c>
      <c r="I31" s="1" t="n">
        <v>48.38</v>
      </c>
      <c r="J31" s="1" t="n">
        <v>39.46</v>
      </c>
      <c r="K31" s="1" t="n">
        <v>60.54</v>
      </c>
      <c r="L31" s="1" t="s">
        <v>37</v>
      </c>
      <c r="M31" s="1" t="n">
        <v>1965.24</v>
      </c>
      <c r="N31" s="1" t="str">
        <f aca="false">IF(K31&gt;65,"High Risk",IF(K31&gt;=40,"Medium Risk","Low Risk"))</f>
        <v>Medium Risk</v>
      </c>
      <c r="O31" s="20" t="b">
        <f aca="false">AND(OR($D31=T1_Region,T1_Region="All Regions"),OR($E31=T1_Income,T1_Income="All Income Groups"))</f>
        <v>1</v>
      </c>
    </row>
    <row r="32" customFormat="false" ht="15" hidden="false" customHeight="true" outlineLevel="0" collapsed="false">
      <c r="A32" s="1" t="s">
        <v>87</v>
      </c>
      <c r="B32" s="1" t="s">
        <v>88</v>
      </c>
      <c r="C32" s="1" t="n">
        <v>2019</v>
      </c>
      <c r="D32" s="1" t="s">
        <v>89</v>
      </c>
      <c r="E32" s="1" t="s">
        <v>90</v>
      </c>
      <c r="F32" s="1" t="n">
        <v>25.58</v>
      </c>
      <c r="G32" s="1" t="n">
        <v>40.75</v>
      </c>
      <c r="H32" s="1" t="n">
        <v>40.83</v>
      </c>
      <c r="I32" s="1" t="n">
        <v>48.87</v>
      </c>
      <c r="J32" s="1" t="n">
        <v>39.01</v>
      </c>
      <c r="K32" s="1" t="n">
        <v>60.99</v>
      </c>
      <c r="L32" s="1" t="s">
        <v>37</v>
      </c>
      <c r="M32" s="1" t="n">
        <v>2129.8</v>
      </c>
      <c r="N32" s="1" t="str">
        <f aca="false">IF(K32&gt;65,"High Risk",IF(K32&gt;=40,"Medium Risk","Low Risk"))</f>
        <v>Medium Risk</v>
      </c>
      <c r="O32" s="20" t="b">
        <f aca="false">AND(OR($D32=T1_Region,T1_Region="All Regions"),OR($E32=T1_Income,T1_Income="All Income Groups"))</f>
        <v>1</v>
      </c>
    </row>
    <row r="33" customFormat="false" ht="15" hidden="false" customHeight="true" outlineLevel="0" collapsed="false">
      <c r="A33" s="1" t="s">
        <v>87</v>
      </c>
      <c r="B33" s="1" t="s">
        <v>88</v>
      </c>
      <c r="C33" s="1" t="n">
        <v>2020</v>
      </c>
      <c r="D33" s="1" t="s">
        <v>89</v>
      </c>
      <c r="E33" s="1" t="s">
        <v>90</v>
      </c>
      <c r="F33" s="1" t="n">
        <v>26.07</v>
      </c>
      <c r="G33" s="1" t="n">
        <v>41.53</v>
      </c>
      <c r="H33" s="1" t="n">
        <v>40.76</v>
      </c>
      <c r="I33" s="1" t="n">
        <v>48.55</v>
      </c>
      <c r="J33" s="1" t="n">
        <v>39.23</v>
      </c>
      <c r="K33" s="1" t="n">
        <v>60.77</v>
      </c>
      <c r="L33" s="1" t="s">
        <v>37</v>
      </c>
      <c r="M33" s="1" t="n">
        <v>2248.85</v>
      </c>
      <c r="N33" s="1" t="str">
        <f aca="false">IF(K33&gt;65,"High Risk",IF(K33&gt;=40,"Medium Risk","Low Risk"))</f>
        <v>Medium Risk</v>
      </c>
      <c r="O33" s="20" t="b">
        <f aca="false">AND(OR($D33=T1_Region,T1_Region="All Regions"),OR($E33=T1_Income,T1_Income="All Income Groups"))</f>
        <v>1</v>
      </c>
    </row>
    <row r="34" customFormat="false" ht="15" hidden="false" customHeight="true" outlineLevel="0" collapsed="false">
      <c r="A34" s="1" t="s">
        <v>87</v>
      </c>
      <c r="B34" s="1" t="s">
        <v>88</v>
      </c>
      <c r="C34" s="1" t="n">
        <v>2021</v>
      </c>
      <c r="D34" s="1" t="s">
        <v>89</v>
      </c>
      <c r="E34" s="1" t="s">
        <v>90</v>
      </c>
      <c r="F34" s="1" t="n">
        <v>25.73</v>
      </c>
      <c r="G34" s="1" t="n">
        <v>40.19</v>
      </c>
      <c r="H34" s="1" t="n">
        <v>41.12</v>
      </c>
      <c r="I34" s="1" t="n">
        <v>47.9</v>
      </c>
      <c r="J34" s="1" t="n">
        <v>38.73</v>
      </c>
      <c r="K34" s="1" t="n">
        <v>61.27</v>
      </c>
      <c r="L34" s="1" t="s">
        <v>37</v>
      </c>
      <c r="M34" s="1" t="n">
        <v>2482.85</v>
      </c>
      <c r="N34" s="1" t="str">
        <f aca="false">IF(K34&gt;65,"High Risk",IF(K34&gt;=40,"Medium Risk","Low Risk"))</f>
        <v>Medium Risk</v>
      </c>
      <c r="O34" s="20" t="b">
        <f aca="false">AND(OR($D34=T1_Region,T1_Region="All Regions"),OR($E34=T1_Income,T1_Income="All Income Groups"))</f>
        <v>1</v>
      </c>
    </row>
    <row r="35" customFormat="false" ht="15" hidden="false" customHeight="true" outlineLevel="0" collapsed="false">
      <c r="A35" s="1" t="s">
        <v>87</v>
      </c>
      <c r="B35" s="1" t="s">
        <v>88</v>
      </c>
      <c r="C35" s="1" t="n">
        <v>2022</v>
      </c>
      <c r="D35" s="1" t="s">
        <v>89</v>
      </c>
      <c r="E35" s="1" t="s">
        <v>90</v>
      </c>
      <c r="F35" s="1" t="n">
        <v>24</v>
      </c>
      <c r="G35" s="1" t="n">
        <v>40.21</v>
      </c>
      <c r="H35" s="1" t="n">
        <v>40.29</v>
      </c>
      <c r="I35" s="1" t="n">
        <v>47.18</v>
      </c>
      <c r="J35" s="1" t="n">
        <v>37.92</v>
      </c>
      <c r="K35" s="1" t="n">
        <v>62.08</v>
      </c>
      <c r="L35" s="1" t="s">
        <v>37</v>
      </c>
      <c r="M35" s="1" t="n">
        <v>2716.49</v>
      </c>
      <c r="N35" s="1" t="str">
        <f aca="false">IF(K35&gt;65,"High Risk",IF(K35&gt;=40,"Medium Risk","Low Risk"))</f>
        <v>Medium Risk</v>
      </c>
      <c r="O35" s="20" t="b">
        <f aca="false">AND(OR($D35=T1_Region,T1_Region="All Regions"),OR($E35=T1_Income,T1_Income="All Income Groups"))</f>
        <v>1</v>
      </c>
    </row>
    <row r="36" customFormat="false" ht="15" hidden="false" customHeight="true" outlineLevel="0" collapsed="false">
      <c r="A36" s="1" t="s">
        <v>87</v>
      </c>
      <c r="B36" s="1" t="s">
        <v>88</v>
      </c>
      <c r="C36" s="1" t="n">
        <v>2023</v>
      </c>
      <c r="D36" s="1" t="s">
        <v>89</v>
      </c>
      <c r="E36" s="1" t="s">
        <v>90</v>
      </c>
      <c r="F36" s="1" t="n">
        <v>23.59</v>
      </c>
      <c r="G36" s="1" t="n">
        <v>41.44</v>
      </c>
      <c r="H36" s="1" t="n">
        <v>40.65</v>
      </c>
      <c r="I36" s="1" t="n">
        <v>48.2</v>
      </c>
      <c r="J36" s="1" t="n">
        <v>38.47</v>
      </c>
      <c r="K36" s="1" t="n">
        <v>61.53</v>
      </c>
      <c r="L36" s="1" t="s">
        <v>37</v>
      </c>
      <c r="M36" s="1" t="n">
        <v>2551.02</v>
      </c>
      <c r="N36" s="1" t="str">
        <f aca="false">IF(K36&gt;65,"High Risk",IF(K36&gt;=40,"Medium Risk","Low Risk"))</f>
        <v>Medium Risk</v>
      </c>
      <c r="O36" s="20" t="b">
        <f aca="false">AND(OR($D36=T1_Region,T1_Region="All Regions"),OR($E36=T1_Income,T1_Income="All Income Groups"))</f>
        <v>1</v>
      </c>
    </row>
    <row r="37" customFormat="false" ht="15" hidden="false" customHeight="true" outlineLevel="0" collapsed="false">
      <c r="A37" s="1" t="s">
        <v>87</v>
      </c>
      <c r="B37" s="1" t="s">
        <v>88</v>
      </c>
      <c r="C37" s="1" t="n">
        <v>2024</v>
      </c>
      <c r="D37" s="1" t="s">
        <v>89</v>
      </c>
      <c r="E37" s="1" t="s">
        <v>90</v>
      </c>
      <c r="F37" s="1" t="n">
        <v>25.55</v>
      </c>
      <c r="G37" s="1" t="n">
        <v>40.44</v>
      </c>
      <c r="H37" s="1" t="n">
        <v>39.88</v>
      </c>
      <c r="I37" s="1" t="n">
        <v>40.9</v>
      </c>
      <c r="J37" s="1" t="n">
        <v>36.69</v>
      </c>
      <c r="K37" s="1" t="n">
        <v>63.31</v>
      </c>
      <c r="L37" s="1" t="s">
        <v>37</v>
      </c>
      <c r="M37" s="1" t="n">
        <v>2593.42</v>
      </c>
      <c r="N37" s="1" t="str">
        <f aca="false">IF(K37&gt;65,"High Risk",IF(K37&gt;=40,"Medium Risk","Low Risk"))</f>
        <v>Medium Risk</v>
      </c>
      <c r="O37" s="20" t="b">
        <f aca="false">AND(OR($D37=T1_Region,T1_Region="All Regions"),OR($E37=T1_Income,T1_Income="All Income Groups"))</f>
        <v>1</v>
      </c>
    </row>
    <row r="38" customFormat="false" ht="15" hidden="false" customHeight="true" outlineLevel="0" collapsed="false">
      <c r="A38" s="1" t="s">
        <v>91</v>
      </c>
      <c r="B38" s="1" t="s">
        <v>92</v>
      </c>
      <c r="C38" s="1" t="n">
        <v>2013</v>
      </c>
      <c r="D38" s="1" t="s">
        <v>81</v>
      </c>
      <c r="E38" s="1" t="s">
        <v>82</v>
      </c>
      <c r="F38" s="1" t="n">
        <v>46.62</v>
      </c>
      <c r="G38" s="1" t="n">
        <v>54.65</v>
      </c>
      <c r="H38" s="1" t="n">
        <v>56.91</v>
      </c>
      <c r="I38" s="1" t="n">
        <v>59.65</v>
      </c>
      <c r="J38" s="1" t="n">
        <v>54.46</v>
      </c>
      <c r="K38" s="1" t="n">
        <v>45.54</v>
      </c>
      <c r="L38" s="1" t="s">
        <v>37</v>
      </c>
      <c r="M38" s="1" t="n">
        <v>12458.89</v>
      </c>
      <c r="N38" s="1" t="str">
        <f aca="false">IF(K38&gt;65,"High Risk",IF(K38&gt;=40,"Medium Risk","Low Risk"))</f>
        <v>Medium Risk</v>
      </c>
      <c r="O38" s="20" t="b">
        <f aca="false">AND(OR($D38=T1_Region,T1_Region="All Regions"),OR($E38=T1_Income,T1_Income="All Income Groups"))</f>
        <v>1</v>
      </c>
    </row>
    <row r="39" customFormat="false" ht="15" hidden="false" customHeight="true" outlineLevel="0" collapsed="false">
      <c r="A39" s="1" t="s">
        <v>91</v>
      </c>
      <c r="B39" s="1" t="s">
        <v>92</v>
      </c>
      <c r="C39" s="1" t="n">
        <v>2014</v>
      </c>
      <c r="D39" s="1" t="s">
        <v>81</v>
      </c>
      <c r="E39" s="1" t="s">
        <v>82</v>
      </c>
      <c r="F39" s="1" t="n">
        <v>43.09</v>
      </c>
      <c r="G39" s="1" t="n">
        <v>54.52</v>
      </c>
      <c r="H39" s="1" t="n">
        <v>54.29</v>
      </c>
      <c r="I39" s="1" t="n">
        <v>61.77</v>
      </c>
      <c r="J39" s="1" t="n">
        <v>53.42</v>
      </c>
      <c r="K39" s="1" t="n">
        <v>46.58</v>
      </c>
      <c r="L39" s="1" t="s">
        <v>37</v>
      </c>
      <c r="M39" s="1" t="n">
        <v>12274.99</v>
      </c>
      <c r="N39" s="1" t="str">
        <f aca="false">IF(K39&gt;65,"High Risk",IF(K39&gt;=40,"Medium Risk","Low Risk"))</f>
        <v>Medium Risk</v>
      </c>
      <c r="O39" s="20" t="b">
        <f aca="false">AND(OR($D39=T1_Region,T1_Region="All Regions"),OR($E39=T1_Income,T1_Income="All Income Groups"))</f>
        <v>1</v>
      </c>
    </row>
    <row r="40" customFormat="false" ht="15" hidden="false" customHeight="true" outlineLevel="0" collapsed="false">
      <c r="A40" s="1" t="s">
        <v>91</v>
      </c>
      <c r="B40" s="1" t="s">
        <v>92</v>
      </c>
      <c r="C40" s="1" t="n">
        <v>2015</v>
      </c>
      <c r="D40" s="1" t="s">
        <v>81</v>
      </c>
      <c r="E40" s="1" t="s">
        <v>82</v>
      </c>
      <c r="F40" s="1" t="n">
        <v>40.74</v>
      </c>
      <c r="G40" s="1" t="n">
        <v>53.09</v>
      </c>
      <c r="H40" s="1" t="n">
        <v>53.34</v>
      </c>
      <c r="I40" s="1" t="n">
        <v>57.42</v>
      </c>
      <c r="J40" s="1" t="n">
        <v>51.15</v>
      </c>
      <c r="K40" s="1" t="n">
        <v>48.85</v>
      </c>
      <c r="L40" s="1" t="s">
        <v>37</v>
      </c>
      <c r="M40" s="1" t="n">
        <v>8936.2</v>
      </c>
      <c r="N40" s="1" t="str">
        <f aca="false">IF(K40&gt;65,"High Risk",IF(K40&gt;=40,"Medium Risk","Low Risk"))</f>
        <v>Medium Risk</v>
      </c>
      <c r="O40" s="20" t="b">
        <f aca="false">AND(OR($D40=T1_Region,T1_Region="All Regions"),OR($E40=T1_Income,T1_Income="All Income Groups"))</f>
        <v>1</v>
      </c>
    </row>
    <row r="41" customFormat="false" ht="15" hidden="false" customHeight="true" outlineLevel="0" collapsed="false">
      <c r="A41" s="1" t="s">
        <v>91</v>
      </c>
      <c r="B41" s="1" t="s">
        <v>92</v>
      </c>
      <c r="C41" s="1" t="n">
        <v>2016</v>
      </c>
      <c r="D41" s="1" t="s">
        <v>81</v>
      </c>
      <c r="E41" s="1" t="s">
        <v>82</v>
      </c>
      <c r="F41" s="1" t="n">
        <v>40.43</v>
      </c>
      <c r="G41" s="1" t="n">
        <v>54.41</v>
      </c>
      <c r="H41" s="1" t="n">
        <v>53.35</v>
      </c>
      <c r="I41" s="1" t="n">
        <v>56.9</v>
      </c>
      <c r="J41" s="1" t="n">
        <v>51.27</v>
      </c>
      <c r="K41" s="1" t="n">
        <v>48.73</v>
      </c>
      <c r="L41" s="1" t="s">
        <v>37</v>
      </c>
      <c r="M41" s="1" t="n">
        <v>8836.29</v>
      </c>
      <c r="N41" s="1" t="str">
        <f aca="false">IF(K41&gt;65,"High Risk",IF(K41&gt;=40,"Medium Risk","Low Risk"))</f>
        <v>Medium Risk</v>
      </c>
      <c r="O41" s="20" t="b">
        <f aca="false">AND(OR($D41=T1_Region,T1_Region="All Regions"),OR($E41=T1_Income,T1_Income="All Income Groups"))</f>
        <v>1</v>
      </c>
    </row>
    <row r="42" customFormat="false" ht="15" hidden="false" customHeight="true" outlineLevel="0" collapsed="false">
      <c r="A42" s="1" t="s">
        <v>91</v>
      </c>
      <c r="B42" s="1" t="s">
        <v>92</v>
      </c>
      <c r="C42" s="1" t="n">
        <v>2017</v>
      </c>
      <c r="D42" s="1" t="s">
        <v>81</v>
      </c>
      <c r="E42" s="1" t="s">
        <v>82</v>
      </c>
      <c r="F42" s="1" t="n">
        <v>38.35</v>
      </c>
      <c r="G42" s="1" t="n">
        <v>52.13</v>
      </c>
      <c r="H42" s="1" t="n">
        <v>53.19</v>
      </c>
      <c r="I42" s="1" t="n">
        <v>55.61</v>
      </c>
      <c r="J42" s="1" t="n">
        <v>49.82</v>
      </c>
      <c r="K42" s="1" t="n">
        <v>50.18</v>
      </c>
      <c r="L42" s="1" t="s">
        <v>37</v>
      </c>
      <c r="M42" s="1" t="n">
        <v>10080.51</v>
      </c>
      <c r="N42" s="1" t="str">
        <f aca="false">IF(K42&gt;65,"High Risk",IF(K42&gt;=40,"Medium Risk","Low Risk"))</f>
        <v>Medium Risk</v>
      </c>
      <c r="O42" s="20" t="b">
        <f aca="false">AND(OR($D42=T1_Region,T1_Region="All Regions"),OR($E42=T1_Income,T1_Income="All Income Groups"))</f>
        <v>1</v>
      </c>
    </row>
    <row r="43" customFormat="false" ht="15" hidden="false" customHeight="true" outlineLevel="0" collapsed="false">
      <c r="A43" s="1" t="s">
        <v>91</v>
      </c>
      <c r="B43" s="1" t="s">
        <v>92</v>
      </c>
      <c r="C43" s="1" t="n">
        <v>2018</v>
      </c>
      <c r="D43" s="1" t="s">
        <v>81</v>
      </c>
      <c r="E43" s="1" t="s">
        <v>82</v>
      </c>
      <c r="F43" s="1" t="n">
        <v>39.6</v>
      </c>
      <c r="G43" s="1" t="n">
        <v>50.05</v>
      </c>
      <c r="H43" s="1" t="n">
        <v>51.01</v>
      </c>
      <c r="I43" s="1" t="n">
        <v>54.87</v>
      </c>
      <c r="J43" s="1" t="n">
        <v>48.89</v>
      </c>
      <c r="K43" s="1" t="n">
        <v>51.11</v>
      </c>
      <c r="L43" s="1" t="s">
        <v>37</v>
      </c>
      <c r="M43" s="1" t="n">
        <v>9300.66</v>
      </c>
      <c r="N43" s="1" t="str">
        <f aca="false">IF(K43&gt;65,"High Risk",IF(K43&gt;=40,"Medium Risk","Low Risk"))</f>
        <v>Medium Risk</v>
      </c>
      <c r="O43" s="20" t="b">
        <f aca="false">AND(OR($D43=T1_Region,T1_Region="All Regions"),OR($E43=T1_Income,T1_Income="All Income Groups"))</f>
        <v>1</v>
      </c>
    </row>
    <row r="44" customFormat="false" ht="15" hidden="false" customHeight="true" outlineLevel="0" collapsed="false">
      <c r="A44" s="1" t="s">
        <v>91</v>
      </c>
      <c r="B44" s="1" t="s">
        <v>92</v>
      </c>
      <c r="C44" s="1" t="n">
        <v>2019</v>
      </c>
      <c r="D44" s="1" t="s">
        <v>81</v>
      </c>
      <c r="E44" s="1" t="s">
        <v>82</v>
      </c>
      <c r="F44" s="1" t="n">
        <v>40.31</v>
      </c>
      <c r="G44" s="1" t="n">
        <v>50.32</v>
      </c>
      <c r="H44" s="1" t="n">
        <v>53.29</v>
      </c>
      <c r="I44" s="1" t="n">
        <v>53.56</v>
      </c>
      <c r="J44" s="1" t="n">
        <v>49.37</v>
      </c>
      <c r="K44" s="1" t="n">
        <v>50.63</v>
      </c>
      <c r="L44" s="1" t="s">
        <v>37</v>
      </c>
      <c r="M44" s="1" t="n">
        <v>9029.83</v>
      </c>
      <c r="N44" s="1" t="str">
        <f aca="false">IF(K44&gt;65,"High Risk",IF(K44&gt;=40,"Medium Risk","Low Risk"))</f>
        <v>Medium Risk</v>
      </c>
      <c r="O44" s="20" t="b">
        <f aca="false">AND(OR($D44=T1_Region,T1_Region="All Regions"),OR($E44=T1_Income,T1_Income="All Income Groups"))</f>
        <v>1</v>
      </c>
    </row>
    <row r="45" customFormat="false" ht="15" hidden="false" customHeight="true" outlineLevel="0" collapsed="false">
      <c r="A45" s="1" t="s">
        <v>91</v>
      </c>
      <c r="B45" s="1" t="s">
        <v>92</v>
      </c>
      <c r="C45" s="1" t="n">
        <v>2020</v>
      </c>
      <c r="D45" s="1" t="s">
        <v>81</v>
      </c>
      <c r="E45" s="1" t="s">
        <v>82</v>
      </c>
      <c r="F45" s="1" t="n">
        <v>41.03</v>
      </c>
      <c r="G45" s="1" t="n">
        <v>50.22</v>
      </c>
      <c r="H45" s="1" t="n">
        <v>52.47</v>
      </c>
      <c r="I45" s="1" t="n">
        <v>58.59</v>
      </c>
      <c r="J45" s="1" t="n">
        <v>50.58</v>
      </c>
      <c r="K45" s="1" t="n">
        <v>49.42</v>
      </c>
      <c r="L45" s="1" t="s">
        <v>37</v>
      </c>
      <c r="M45" s="1" t="n">
        <v>7074.19</v>
      </c>
      <c r="N45" s="1" t="str">
        <f aca="false">IF(K45&gt;65,"High Risk",IF(K45&gt;=40,"Medium Risk","Low Risk"))</f>
        <v>Medium Risk</v>
      </c>
      <c r="O45" s="20" t="b">
        <f aca="false">AND(OR($D45=T1_Region,T1_Region="All Regions"),OR($E45=T1_Income,T1_Income="All Income Groups"))</f>
        <v>1</v>
      </c>
    </row>
    <row r="46" customFormat="false" ht="15" hidden="false" customHeight="true" outlineLevel="0" collapsed="false">
      <c r="A46" s="1" t="s">
        <v>91</v>
      </c>
      <c r="B46" s="1" t="s">
        <v>92</v>
      </c>
      <c r="C46" s="1" t="n">
        <v>2021</v>
      </c>
      <c r="D46" s="1" t="s">
        <v>81</v>
      </c>
      <c r="E46" s="1" t="s">
        <v>82</v>
      </c>
      <c r="F46" s="1" t="n">
        <v>39.67</v>
      </c>
      <c r="G46" s="1" t="n">
        <v>49.92</v>
      </c>
      <c r="H46" s="1" t="n">
        <v>52.48</v>
      </c>
      <c r="I46" s="1" t="n">
        <v>59.19</v>
      </c>
      <c r="J46" s="1" t="n">
        <v>50.32</v>
      </c>
      <c r="K46" s="1" t="n">
        <v>49.68</v>
      </c>
      <c r="L46" s="1" t="s">
        <v>37</v>
      </c>
      <c r="M46" s="1" t="n">
        <v>7972.54</v>
      </c>
      <c r="N46" s="1" t="str">
        <f aca="false">IF(K46&gt;65,"High Risk",IF(K46&gt;=40,"Medium Risk","Low Risk"))</f>
        <v>Medium Risk</v>
      </c>
      <c r="O46" s="20" t="b">
        <f aca="false">AND(OR($D46=T1_Region,T1_Region="All Regions"),OR($E46=T1_Income,T1_Income="All Income Groups"))</f>
        <v>1</v>
      </c>
    </row>
    <row r="47" customFormat="false" ht="15" hidden="false" customHeight="true" outlineLevel="0" collapsed="false">
      <c r="A47" s="1" t="s">
        <v>91</v>
      </c>
      <c r="B47" s="1" t="s">
        <v>92</v>
      </c>
      <c r="C47" s="1" t="n">
        <v>2022</v>
      </c>
      <c r="D47" s="1" t="s">
        <v>81</v>
      </c>
      <c r="E47" s="1" t="s">
        <v>82</v>
      </c>
      <c r="F47" s="1" t="n">
        <v>38.62</v>
      </c>
      <c r="G47" s="1" t="n">
        <v>49.39</v>
      </c>
      <c r="H47" s="1" t="n">
        <v>51.73</v>
      </c>
      <c r="I47" s="1" t="n">
        <v>58.79</v>
      </c>
      <c r="J47" s="1" t="n">
        <v>49.63</v>
      </c>
      <c r="K47" s="1" t="n">
        <v>50.37</v>
      </c>
      <c r="L47" s="1" t="s">
        <v>37</v>
      </c>
      <c r="M47" s="1" t="n">
        <v>9281.33</v>
      </c>
      <c r="N47" s="1" t="str">
        <f aca="false">IF(K47&gt;65,"High Risk",IF(K47&gt;=40,"Medium Risk","Low Risk"))</f>
        <v>Medium Risk</v>
      </c>
      <c r="O47" s="20" t="b">
        <f aca="false">AND(OR($D47=T1_Region,T1_Region="All Regions"),OR($E47=T1_Income,T1_Income="All Income Groups"))</f>
        <v>1</v>
      </c>
    </row>
    <row r="48" customFormat="false" ht="15" hidden="false" customHeight="true" outlineLevel="0" collapsed="false">
      <c r="A48" s="1" t="s">
        <v>91</v>
      </c>
      <c r="B48" s="1" t="s">
        <v>92</v>
      </c>
      <c r="C48" s="1" t="n">
        <v>2023</v>
      </c>
      <c r="D48" s="1" t="s">
        <v>81</v>
      </c>
      <c r="E48" s="1" t="s">
        <v>82</v>
      </c>
      <c r="F48" s="1" t="n">
        <v>38.72</v>
      </c>
      <c r="G48" s="1" t="n">
        <v>48.65</v>
      </c>
      <c r="H48" s="1" t="n">
        <v>51.14</v>
      </c>
      <c r="I48" s="1" t="n">
        <v>56.99</v>
      </c>
      <c r="J48" s="1" t="n">
        <v>48.87</v>
      </c>
      <c r="K48" s="1" t="n">
        <v>51.13</v>
      </c>
      <c r="L48" s="1" t="s">
        <v>37</v>
      </c>
      <c r="M48" s="1" t="n">
        <v>10377.59</v>
      </c>
      <c r="N48" s="1" t="str">
        <f aca="false">IF(K48&gt;65,"High Risk",IF(K48&gt;=40,"Medium Risk","Low Risk"))</f>
        <v>Medium Risk</v>
      </c>
      <c r="O48" s="20" t="b">
        <f aca="false">AND(OR($D48=T1_Region,T1_Region="All Regions"),OR($E48=T1_Income,T1_Income="All Income Groups"))</f>
        <v>1</v>
      </c>
    </row>
    <row r="49" customFormat="false" ht="15" hidden="false" customHeight="true" outlineLevel="0" collapsed="false">
      <c r="A49" s="1" t="s">
        <v>91</v>
      </c>
      <c r="B49" s="1" t="s">
        <v>92</v>
      </c>
      <c r="C49" s="1" t="n">
        <v>2024</v>
      </c>
      <c r="D49" s="1" t="s">
        <v>81</v>
      </c>
      <c r="E49" s="1" t="s">
        <v>82</v>
      </c>
      <c r="F49" s="1" t="n">
        <v>39.58</v>
      </c>
      <c r="G49" s="1" t="n">
        <v>49.28</v>
      </c>
      <c r="H49" s="1" t="n">
        <v>50.22</v>
      </c>
      <c r="I49" s="1" t="n">
        <v>57</v>
      </c>
      <c r="J49" s="1" t="n">
        <v>49.02</v>
      </c>
      <c r="K49" s="1" t="n">
        <v>50.98</v>
      </c>
      <c r="L49" s="1" t="s">
        <v>37</v>
      </c>
      <c r="M49" s="1" t="n">
        <v>10310.55</v>
      </c>
      <c r="N49" s="1" t="str">
        <f aca="false">IF(K49&gt;65,"High Risk",IF(K49&gt;=40,"Medium Risk","Low Risk"))</f>
        <v>Medium Risk</v>
      </c>
      <c r="O49" s="20" t="b">
        <f aca="false">AND(OR($D49=T1_Region,T1_Region="All Regions"),OR($E49=T1_Income,T1_Income="All Income Groups"))</f>
        <v>1</v>
      </c>
    </row>
    <row r="50" customFormat="false" ht="15" hidden="false" customHeight="true" outlineLevel="0" collapsed="false">
      <c r="A50" s="1" t="s">
        <v>93</v>
      </c>
      <c r="B50" s="1" t="s">
        <v>94</v>
      </c>
      <c r="C50" s="1" t="n">
        <v>2013</v>
      </c>
      <c r="D50" s="1" t="s">
        <v>95</v>
      </c>
      <c r="E50" s="1" t="s">
        <v>86</v>
      </c>
      <c r="F50" s="1" t="n">
        <v>84.88</v>
      </c>
      <c r="G50" s="1" t="n">
        <v>84.33</v>
      </c>
      <c r="H50" s="1" t="n">
        <v>82.51</v>
      </c>
      <c r="I50" s="1" t="n">
        <v>83.24</v>
      </c>
      <c r="J50" s="1" t="n">
        <v>83.74</v>
      </c>
      <c r="K50" s="1" t="n">
        <v>16.26</v>
      </c>
      <c r="L50" s="1" t="s">
        <v>38</v>
      </c>
      <c r="M50" s="1" t="n">
        <v>52637.73</v>
      </c>
      <c r="N50" s="1" t="str">
        <f aca="false">IF(K50&gt;65,"High Risk",IF(K50&gt;=40,"Medium Risk","Low Risk"))</f>
        <v>Low Risk</v>
      </c>
      <c r="O50" s="20" t="b">
        <f aca="false">AND(OR($D50=T1_Region,T1_Region="All Regions"),OR($E50=T1_Income,T1_Income="All Income Groups"))</f>
        <v>1</v>
      </c>
    </row>
    <row r="51" customFormat="false" ht="15" hidden="false" customHeight="true" outlineLevel="0" collapsed="false">
      <c r="A51" s="1" t="s">
        <v>93</v>
      </c>
      <c r="B51" s="1" t="s">
        <v>94</v>
      </c>
      <c r="C51" s="1" t="n">
        <v>2014</v>
      </c>
      <c r="D51" s="1" t="s">
        <v>95</v>
      </c>
      <c r="E51" s="1" t="s">
        <v>86</v>
      </c>
      <c r="F51" s="1" t="n">
        <v>84.65</v>
      </c>
      <c r="G51" s="1" t="n">
        <v>85.25</v>
      </c>
      <c r="H51" s="1" t="n">
        <v>81.4</v>
      </c>
      <c r="I51" s="1" t="n">
        <v>85.75</v>
      </c>
      <c r="J51" s="1" t="n">
        <v>84.26</v>
      </c>
      <c r="K51" s="1" t="n">
        <v>15.74</v>
      </c>
      <c r="L51" s="1" t="s">
        <v>38</v>
      </c>
      <c r="M51" s="1" t="n">
        <v>50960.89</v>
      </c>
      <c r="N51" s="1" t="str">
        <f aca="false">IF(K51&gt;65,"High Risk",IF(K51&gt;=40,"Medium Risk","Low Risk"))</f>
        <v>Low Risk</v>
      </c>
      <c r="O51" s="20" t="b">
        <f aca="false">AND(OR($D51=T1_Region,T1_Region="All Regions"),OR($E51=T1_Income,T1_Income="All Income Groups"))</f>
        <v>1</v>
      </c>
    </row>
    <row r="52" customFormat="false" ht="15" hidden="false" customHeight="true" outlineLevel="0" collapsed="false">
      <c r="A52" s="1" t="s">
        <v>93</v>
      </c>
      <c r="B52" s="1" t="s">
        <v>94</v>
      </c>
      <c r="C52" s="1" t="n">
        <v>2015</v>
      </c>
      <c r="D52" s="1" t="s">
        <v>95</v>
      </c>
      <c r="E52" s="1" t="s">
        <v>86</v>
      </c>
      <c r="F52" s="1" t="n">
        <v>85.67</v>
      </c>
      <c r="G52" s="1" t="n">
        <v>86.58</v>
      </c>
      <c r="H52" s="1" t="n">
        <v>81.03</v>
      </c>
      <c r="I52" s="1" t="n">
        <v>86.1</v>
      </c>
      <c r="J52" s="1" t="n">
        <v>84.84</v>
      </c>
      <c r="K52" s="1" t="n">
        <v>15.16</v>
      </c>
      <c r="L52" s="1" t="s">
        <v>38</v>
      </c>
      <c r="M52" s="1" t="n">
        <v>43594.24</v>
      </c>
      <c r="N52" s="1" t="str">
        <f aca="false">IF(K52&gt;65,"High Risk",IF(K52&gt;=40,"Medium Risk","Low Risk"))</f>
        <v>Low Risk</v>
      </c>
      <c r="O52" s="20" t="b">
        <f aca="false">AND(OR($D52=T1_Region,T1_Region="All Regions"),OR($E52=T1_Income,T1_Income="All Income Groups"))</f>
        <v>1</v>
      </c>
    </row>
    <row r="53" customFormat="false" ht="15" hidden="false" customHeight="true" outlineLevel="0" collapsed="false">
      <c r="A53" s="1" t="s">
        <v>93</v>
      </c>
      <c r="B53" s="1" t="s">
        <v>94</v>
      </c>
      <c r="C53" s="1" t="n">
        <v>2016</v>
      </c>
      <c r="D53" s="1" t="s">
        <v>95</v>
      </c>
      <c r="E53" s="1" t="s">
        <v>86</v>
      </c>
      <c r="F53" s="1" t="n">
        <v>87.14</v>
      </c>
      <c r="G53" s="1" t="n">
        <v>86.72</v>
      </c>
      <c r="H53" s="1" t="n">
        <v>82.79</v>
      </c>
      <c r="I53" s="1" t="n">
        <v>85.75</v>
      </c>
      <c r="J53" s="1" t="n">
        <v>85.6</v>
      </c>
      <c r="K53" s="1" t="n">
        <v>14.4</v>
      </c>
      <c r="L53" s="1" t="s">
        <v>38</v>
      </c>
      <c r="M53" s="1" t="n">
        <v>42314.1</v>
      </c>
      <c r="N53" s="1" t="str">
        <f aca="false">IF(K53&gt;65,"High Risk",IF(K53&gt;=40,"Medium Risk","Low Risk"))</f>
        <v>Low Risk</v>
      </c>
      <c r="O53" s="20" t="b">
        <f aca="false">AND(OR($D53=T1_Region,T1_Region="All Regions"),OR($E53=T1_Income,T1_Income="All Income Groups"))</f>
        <v>1</v>
      </c>
    </row>
    <row r="54" customFormat="false" ht="15" hidden="false" customHeight="true" outlineLevel="0" collapsed="false">
      <c r="A54" s="1" t="s">
        <v>93</v>
      </c>
      <c r="B54" s="1" t="s">
        <v>94</v>
      </c>
      <c r="C54" s="1" t="n">
        <v>2017</v>
      </c>
      <c r="D54" s="1" t="s">
        <v>95</v>
      </c>
      <c r="E54" s="1" t="s">
        <v>86</v>
      </c>
      <c r="F54" s="1" t="n">
        <v>85.99</v>
      </c>
      <c r="G54" s="1" t="n">
        <v>86.44</v>
      </c>
      <c r="H54" s="1" t="n">
        <v>83.94</v>
      </c>
      <c r="I54" s="1" t="n">
        <v>83.3</v>
      </c>
      <c r="J54" s="1" t="n">
        <v>84.92</v>
      </c>
      <c r="K54" s="1" t="n">
        <v>15.08</v>
      </c>
      <c r="L54" s="1" t="s">
        <v>38</v>
      </c>
      <c r="M54" s="1" t="n">
        <v>45129.73</v>
      </c>
      <c r="N54" s="1" t="str">
        <f aca="false">IF(K54&gt;65,"High Risk",IF(K54&gt;=40,"Medium Risk","Low Risk"))</f>
        <v>Low Risk</v>
      </c>
      <c r="O54" s="20" t="b">
        <f aca="false">AND(OR($D54=T1_Region,T1_Region="All Regions"),OR($E54=T1_Income,T1_Income="All Income Groups"))</f>
        <v>1</v>
      </c>
    </row>
    <row r="55" customFormat="false" ht="15" hidden="false" customHeight="true" outlineLevel="0" collapsed="false">
      <c r="A55" s="1" t="s">
        <v>93</v>
      </c>
      <c r="B55" s="1" t="s">
        <v>94</v>
      </c>
      <c r="C55" s="1" t="n">
        <v>2018</v>
      </c>
      <c r="D55" s="1" t="s">
        <v>95</v>
      </c>
      <c r="E55" s="1" t="s">
        <v>86</v>
      </c>
      <c r="F55" s="1" t="n">
        <v>84.44</v>
      </c>
      <c r="G55" s="1" t="n">
        <v>86.27</v>
      </c>
      <c r="H55" s="1" t="n">
        <v>80.76</v>
      </c>
      <c r="I55" s="1" t="n">
        <v>81.9</v>
      </c>
      <c r="J55" s="1" t="n">
        <v>83.34</v>
      </c>
      <c r="K55" s="1" t="n">
        <v>16.66</v>
      </c>
      <c r="L55" s="1" t="s">
        <v>38</v>
      </c>
      <c r="M55" s="1" t="n">
        <v>46539.22</v>
      </c>
      <c r="N55" s="1" t="str">
        <f aca="false">IF(K55&gt;65,"High Risk",IF(K55&gt;=40,"Medium Risk","Low Risk"))</f>
        <v>Low Risk</v>
      </c>
      <c r="O55" s="20" t="b">
        <f aca="false">AND(OR($D55=T1_Region,T1_Region="All Regions"),OR($E55=T1_Income,T1_Income="All Income Groups"))</f>
        <v>1</v>
      </c>
    </row>
    <row r="56" customFormat="false" ht="15" hidden="false" customHeight="true" outlineLevel="0" collapsed="false">
      <c r="A56" s="1" t="s">
        <v>93</v>
      </c>
      <c r="B56" s="1" t="s">
        <v>94</v>
      </c>
      <c r="C56" s="1" t="n">
        <v>2019</v>
      </c>
      <c r="D56" s="1" t="s">
        <v>95</v>
      </c>
      <c r="E56" s="1" t="s">
        <v>86</v>
      </c>
      <c r="F56" s="1" t="n">
        <v>84.2</v>
      </c>
      <c r="G56" s="1" t="n">
        <v>85.92</v>
      </c>
      <c r="H56" s="1" t="n">
        <v>81.4</v>
      </c>
      <c r="I56" s="1" t="n">
        <v>81.34</v>
      </c>
      <c r="J56" s="1" t="n">
        <v>83.21</v>
      </c>
      <c r="K56" s="1" t="n">
        <v>16.79</v>
      </c>
      <c r="L56" s="1" t="s">
        <v>38</v>
      </c>
      <c r="M56" s="1" t="n">
        <v>46352.97</v>
      </c>
      <c r="N56" s="1" t="str">
        <f aca="false">IF(K56&gt;65,"High Risk",IF(K56&gt;=40,"Medium Risk","Low Risk"))</f>
        <v>Low Risk</v>
      </c>
      <c r="O56" s="20" t="b">
        <f aca="false">AND(OR($D56=T1_Region,T1_Region="All Regions"),OR($E56=T1_Income,T1_Income="All Income Groups"))</f>
        <v>1</v>
      </c>
    </row>
    <row r="57" customFormat="false" ht="15" hidden="false" customHeight="true" outlineLevel="0" collapsed="false">
      <c r="A57" s="1" t="s">
        <v>93</v>
      </c>
      <c r="B57" s="1" t="s">
        <v>94</v>
      </c>
      <c r="C57" s="1" t="n">
        <v>2020</v>
      </c>
      <c r="D57" s="1" t="s">
        <v>95</v>
      </c>
      <c r="E57" s="1" t="s">
        <v>86</v>
      </c>
      <c r="F57" s="1" t="n">
        <v>81.1</v>
      </c>
      <c r="G57" s="1" t="n">
        <v>83.79</v>
      </c>
      <c r="H57" s="1" t="n">
        <v>79.98</v>
      </c>
      <c r="I57" s="1" t="n">
        <v>82.05</v>
      </c>
      <c r="J57" s="1" t="n">
        <v>81.73</v>
      </c>
      <c r="K57" s="1" t="n">
        <v>18.27</v>
      </c>
      <c r="L57" s="1" t="s">
        <v>38</v>
      </c>
      <c r="M57" s="1" t="n">
        <v>43537.9</v>
      </c>
      <c r="N57" s="1" t="str">
        <f aca="false">IF(K57&gt;65,"High Risk",IF(K57&gt;=40,"Medium Risk","Low Risk"))</f>
        <v>Low Risk</v>
      </c>
      <c r="O57" s="20" t="b">
        <f aca="false">AND(OR($D57=T1_Region,T1_Region="All Regions"),OR($E57=T1_Income,T1_Income="All Income Groups"))</f>
        <v>1</v>
      </c>
    </row>
    <row r="58" customFormat="false" ht="15" hidden="false" customHeight="true" outlineLevel="0" collapsed="false">
      <c r="A58" s="1" t="s">
        <v>93</v>
      </c>
      <c r="B58" s="1" t="s">
        <v>94</v>
      </c>
      <c r="C58" s="1" t="n">
        <v>2021</v>
      </c>
      <c r="D58" s="1" t="s">
        <v>95</v>
      </c>
      <c r="E58" s="1" t="s">
        <v>86</v>
      </c>
      <c r="F58" s="1" t="n">
        <v>80.56</v>
      </c>
      <c r="G58" s="1" t="n">
        <v>83.63</v>
      </c>
      <c r="H58" s="1" t="n">
        <v>80.6</v>
      </c>
      <c r="I58" s="1" t="n">
        <v>78.88</v>
      </c>
      <c r="J58" s="1" t="n">
        <v>80.92</v>
      </c>
      <c r="K58" s="1" t="n">
        <v>19.08</v>
      </c>
      <c r="L58" s="1" t="s">
        <v>38</v>
      </c>
      <c r="M58" s="1" t="n">
        <v>52886.64</v>
      </c>
      <c r="N58" s="1" t="str">
        <f aca="false">IF(K58&gt;65,"High Risk",IF(K58&gt;=40,"Medium Risk","Low Risk"))</f>
        <v>Low Risk</v>
      </c>
      <c r="O58" s="20" t="b">
        <f aca="false">AND(OR($D58=T1_Region,T1_Region="All Regions"),OR($E58=T1_Income,T1_Income="All Income Groups"))</f>
        <v>1</v>
      </c>
    </row>
    <row r="59" customFormat="false" ht="15" hidden="false" customHeight="true" outlineLevel="0" collapsed="false">
      <c r="A59" s="1" t="s">
        <v>93</v>
      </c>
      <c r="B59" s="1" t="s">
        <v>94</v>
      </c>
      <c r="C59" s="1" t="n">
        <v>2022</v>
      </c>
      <c r="D59" s="1" t="s">
        <v>95</v>
      </c>
      <c r="E59" s="1" t="s">
        <v>86</v>
      </c>
      <c r="F59" s="1" t="n">
        <v>81.29</v>
      </c>
      <c r="G59" s="1" t="n">
        <v>82.87</v>
      </c>
      <c r="H59" s="1" t="n">
        <v>80.61</v>
      </c>
      <c r="I59" s="1" t="n">
        <v>74.56</v>
      </c>
      <c r="J59" s="1" t="n">
        <v>79.83</v>
      </c>
      <c r="K59" s="1" t="n">
        <v>20.17</v>
      </c>
      <c r="L59" s="1" t="s">
        <v>38</v>
      </c>
      <c r="M59" s="1" t="n">
        <v>56496.93</v>
      </c>
      <c r="N59" s="1" t="str">
        <f aca="false">IF(K59&gt;65,"High Risk",IF(K59&gt;=40,"Medium Risk","Low Risk"))</f>
        <v>Low Risk</v>
      </c>
      <c r="O59" s="20" t="b">
        <f aca="false">AND(OR($D59=T1_Region,T1_Region="All Regions"),OR($E59=T1_Income,T1_Income="All Income Groups"))</f>
        <v>1</v>
      </c>
    </row>
    <row r="60" customFormat="false" ht="15" hidden="false" customHeight="true" outlineLevel="0" collapsed="false">
      <c r="A60" s="1" t="s">
        <v>93</v>
      </c>
      <c r="B60" s="1" t="s">
        <v>94</v>
      </c>
      <c r="C60" s="1" t="n">
        <v>2023</v>
      </c>
      <c r="D60" s="1" t="s">
        <v>95</v>
      </c>
      <c r="E60" s="1" t="s">
        <v>86</v>
      </c>
      <c r="F60" s="1" t="n">
        <v>80.77</v>
      </c>
      <c r="G60" s="1" t="n">
        <v>81.68</v>
      </c>
      <c r="H60" s="1" t="n">
        <v>79.66</v>
      </c>
      <c r="I60" s="1" t="n">
        <v>76.6</v>
      </c>
      <c r="J60" s="1" t="n">
        <v>79.68</v>
      </c>
      <c r="K60" s="1" t="n">
        <v>20.32</v>
      </c>
      <c r="L60" s="1" t="s">
        <v>38</v>
      </c>
      <c r="M60" s="1" t="n">
        <v>54847.54</v>
      </c>
      <c r="N60" s="1" t="str">
        <f aca="false">IF(K60&gt;65,"High Risk",IF(K60&gt;=40,"Medium Risk","Low Risk"))</f>
        <v>Low Risk</v>
      </c>
      <c r="O60" s="20" t="b">
        <f aca="false">AND(OR($D60=T1_Region,T1_Region="All Regions"),OR($E60=T1_Income,T1_Income="All Income Groups"))</f>
        <v>1</v>
      </c>
    </row>
    <row r="61" customFormat="false" ht="15" hidden="false" customHeight="true" outlineLevel="0" collapsed="false">
      <c r="A61" s="1" t="s">
        <v>93</v>
      </c>
      <c r="B61" s="1" t="s">
        <v>94</v>
      </c>
      <c r="C61" s="1" t="n">
        <v>2024</v>
      </c>
      <c r="D61" s="1" t="s">
        <v>95</v>
      </c>
      <c r="E61" s="1" t="s">
        <v>86</v>
      </c>
      <c r="F61" s="1" t="n">
        <v>80.89</v>
      </c>
      <c r="G61" s="1" t="n">
        <v>82.11</v>
      </c>
      <c r="H61" s="1" t="n">
        <v>76.35</v>
      </c>
      <c r="I61" s="1" t="n">
        <v>76.12</v>
      </c>
      <c r="J61" s="1" t="n">
        <v>78.86</v>
      </c>
      <c r="K61" s="1" t="n">
        <v>21.14</v>
      </c>
      <c r="L61" s="1" t="s">
        <v>38</v>
      </c>
      <c r="M61" s="1" t="n">
        <v>55015.71</v>
      </c>
      <c r="N61" s="1" t="str">
        <f aca="false">IF(K61&gt;65,"High Risk",IF(K61&gt;=40,"Medium Risk","Low Risk"))</f>
        <v>Low Risk</v>
      </c>
      <c r="O61" s="20" t="b">
        <f aca="false">AND(OR($D61=T1_Region,T1_Region="All Regions"),OR($E61=T1_Income,T1_Income="All Income Groups"))</f>
        <v>1</v>
      </c>
    </row>
    <row r="62" customFormat="false" ht="15" hidden="false" customHeight="true" outlineLevel="0" collapsed="false">
      <c r="A62" s="1" t="s">
        <v>96</v>
      </c>
      <c r="B62" s="1" t="s">
        <v>97</v>
      </c>
      <c r="C62" s="1" t="n">
        <v>2013</v>
      </c>
      <c r="D62" s="1" t="s">
        <v>81</v>
      </c>
      <c r="E62" s="1" t="s">
        <v>86</v>
      </c>
      <c r="F62" s="1" t="n">
        <v>76.82</v>
      </c>
      <c r="G62" s="1" t="n">
        <v>75.44</v>
      </c>
      <c r="H62" s="1" t="n">
        <v>78.54</v>
      </c>
      <c r="I62" s="1" t="n">
        <v>75.7</v>
      </c>
      <c r="J62" s="1" t="n">
        <v>76.63</v>
      </c>
      <c r="K62" s="1" t="n">
        <v>23.37</v>
      </c>
      <c r="L62" s="1" t="s">
        <v>38</v>
      </c>
      <c r="M62" s="1" t="n">
        <v>15683.55</v>
      </c>
      <c r="N62" s="1" t="str">
        <f aca="false">IF(K62&gt;65,"High Risk",IF(K62&gt;=40,"Medium Risk","Low Risk"))</f>
        <v>Low Risk</v>
      </c>
      <c r="O62" s="20" t="b">
        <f aca="false">AND(OR($D62=T1_Region,T1_Region="All Regions"),OR($E62=T1_Income,T1_Income="All Income Groups"))</f>
        <v>1</v>
      </c>
    </row>
    <row r="63" customFormat="false" ht="15" hidden="false" customHeight="true" outlineLevel="0" collapsed="false">
      <c r="A63" s="1" t="s">
        <v>96</v>
      </c>
      <c r="B63" s="1" t="s">
        <v>97</v>
      </c>
      <c r="C63" s="1" t="n">
        <v>2014</v>
      </c>
      <c r="D63" s="1" t="s">
        <v>81</v>
      </c>
      <c r="E63" s="1" t="s">
        <v>86</v>
      </c>
      <c r="F63" s="1" t="n">
        <v>75.91</v>
      </c>
      <c r="G63" s="1" t="n">
        <v>75.17</v>
      </c>
      <c r="H63" s="1" t="n">
        <v>75.74</v>
      </c>
      <c r="I63" s="1" t="n">
        <v>78.17</v>
      </c>
      <c r="J63" s="1" t="n">
        <v>76.25</v>
      </c>
      <c r="K63" s="1" t="n">
        <v>23.75</v>
      </c>
      <c r="L63" s="1" t="s">
        <v>38</v>
      </c>
      <c r="M63" s="1" t="n">
        <v>14529.68</v>
      </c>
      <c r="N63" s="1" t="str">
        <f aca="false">IF(K63&gt;65,"High Risk",IF(K63&gt;=40,"Medium Risk","Low Risk"))</f>
        <v>Low Risk</v>
      </c>
      <c r="O63" s="20" t="b">
        <f aca="false">AND(OR($D63=T1_Region,T1_Region="All Regions"),OR($E63=T1_Income,T1_Income="All Income Groups"))</f>
        <v>1</v>
      </c>
    </row>
    <row r="64" customFormat="false" ht="15" hidden="false" customHeight="true" outlineLevel="0" collapsed="false">
      <c r="A64" s="1" t="s">
        <v>96</v>
      </c>
      <c r="B64" s="1" t="s">
        <v>97</v>
      </c>
      <c r="C64" s="1" t="n">
        <v>2015</v>
      </c>
      <c r="D64" s="1" t="s">
        <v>81</v>
      </c>
      <c r="E64" s="1" t="s">
        <v>86</v>
      </c>
      <c r="F64" s="1" t="n">
        <v>71.01</v>
      </c>
      <c r="G64" s="1" t="n">
        <v>74.23</v>
      </c>
      <c r="H64" s="1" t="n">
        <v>74.15</v>
      </c>
      <c r="I64" s="1" t="n">
        <v>77.48</v>
      </c>
      <c r="J64" s="1" t="n">
        <v>74.22</v>
      </c>
      <c r="K64" s="1" t="n">
        <v>25.78</v>
      </c>
      <c r="L64" s="1" t="s">
        <v>38</v>
      </c>
      <c r="M64" s="1" t="n">
        <v>13433.92</v>
      </c>
      <c r="N64" s="1" t="str">
        <f aca="false">IF(K64&gt;65,"High Risk",IF(K64&gt;=40,"Medium Risk","Low Risk"))</f>
        <v>Low Risk</v>
      </c>
      <c r="O64" s="20" t="b">
        <f aca="false">AND(OR($D64=T1_Region,T1_Region="All Regions"),OR($E64=T1_Income,T1_Income="All Income Groups"))</f>
        <v>1</v>
      </c>
    </row>
    <row r="65" customFormat="false" ht="15" hidden="false" customHeight="true" outlineLevel="0" collapsed="false">
      <c r="A65" s="1" t="s">
        <v>96</v>
      </c>
      <c r="B65" s="1" t="s">
        <v>97</v>
      </c>
      <c r="C65" s="1" t="n">
        <v>2016</v>
      </c>
      <c r="D65" s="1" t="s">
        <v>81</v>
      </c>
      <c r="E65" s="1" t="s">
        <v>86</v>
      </c>
      <c r="F65" s="1" t="n">
        <v>70.19</v>
      </c>
      <c r="G65" s="1" t="n">
        <v>73.99</v>
      </c>
      <c r="H65" s="1" t="n">
        <v>74.99</v>
      </c>
      <c r="I65" s="1" t="n">
        <v>76.04</v>
      </c>
      <c r="J65" s="1" t="n">
        <v>73.8</v>
      </c>
      <c r="K65" s="1" t="n">
        <v>26.2</v>
      </c>
      <c r="L65" s="1" t="s">
        <v>38</v>
      </c>
      <c r="M65" s="1" t="n">
        <v>13649.85</v>
      </c>
      <c r="N65" s="1" t="str">
        <f aca="false">IF(K65&gt;65,"High Risk",IF(K65&gt;=40,"Medium Risk","Low Risk"))</f>
        <v>Low Risk</v>
      </c>
      <c r="O65" s="20" t="b">
        <f aca="false">AND(OR($D65=T1_Region,T1_Region="All Regions"),OR($E65=T1_Income,T1_Income="All Income Groups"))</f>
        <v>1</v>
      </c>
    </row>
    <row r="66" customFormat="false" ht="15" hidden="false" customHeight="true" outlineLevel="0" collapsed="false">
      <c r="A66" s="1" t="s">
        <v>96</v>
      </c>
      <c r="B66" s="1" t="s">
        <v>97</v>
      </c>
      <c r="C66" s="1" t="n">
        <v>2017</v>
      </c>
      <c r="D66" s="1" t="s">
        <v>81</v>
      </c>
      <c r="E66" s="1" t="s">
        <v>86</v>
      </c>
      <c r="F66" s="1" t="n">
        <v>70.37</v>
      </c>
      <c r="G66" s="1" t="n">
        <v>73.61</v>
      </c>
      <c r="H66" s="1" t="n">
        <v>74.42</v>
      </c>
      <c r="I66" s="1" t="n">
        <v>75.96</v>
      </c>
      <c r="J66" s="1" t="n">
        <v>73.59</v>
      </c>
      <c r="K66" s="1" t="n">
        <v>26.41</v>
      </c>
      <c r="L66" s="1" t="s">
        <v>38</v>
      </c>
      <c r="M66" s="1" t="n">
        <v>14879.91</v>
      </c>
      <c r="N66" s="1" t="str">
        <f aca="false">IF(K66&gt;65,"High Risk",IF(K66&gt;=40,"Medium Risk","Low Risk"))</f>
        <v>Low Risk</v>
      </c>
      <c r="O66" s="20" t="b">
        <f aca="false">AND(OR($D66=T1_Region,T1_Region="All Regions"),OR($E66=T1_Income,T1_Income="All Income Groups"))</f>
        <v>1</v>
      </c>
    </row>
    <row r="67" customFormat="false" ht="15" hidden="false" customHeight="true" outlineLevel="0" collapsed="false">
      <c r="A67" s="1" t="s">
        <v>96</v>
      </c>
      <c r="B67" s="1" t="s">
        <v>97</v>
      </c>
      <c r="C67" s="1" t="n">
        <v>2018</v>
      </c>
      <c r="D67" s="1" t="s">
        <v>81</v>
      </c>
      <c r="E67" s="1" t="s">
        <v>86</v>
      </c>
      <c r="F67" s="1" t="n">
        <v>70.37</v>
      </c>
      <c r="G67" s="1" t="n">
        <v>73.45</v>
      </c>
      <c r="H67" s="1" t="n">
        <v>73.4</v>
      </c>
      <c r="I67" s="1" t="n">
        <v>77.41</v>
      </c>
      <c r="J67" s="1" t="n">
        <v>73.66</v>
      </c>
      <c r="K67" s="1" t="n">
        <v>26.34</v>
      </c>
      <c r="L67" s="1" t="s">
        <v>38</v>
      </c>
      <c r="M67" s="1" t="n">
        <v>15659.48</v>
      </c>
      <c r="N67" s="1" t="str">
        <f aca="false">IF(K67&gt;65,"High Risk",IF(K67&gt;=40,"Medium Risk","Low Risk"))</f>
        <v>Low Risk</v>
      </c>
      <c r="O67" s="20" t="b">
        <f aca="false">AND(OR($D67=T1_Region,T1_Region="All Regions"),OR($E67=T1_Income,T1_Income="All Income Groups"))</f>
        <v>1</v>
      </c>
    </row>
    <row r="68" customFormat="false" ht="15" hidden="false" customHeight="true" outlineLevel="0" collapsed="false">
      <c r="A68" s="1" t="s">
        <v>96</v>
      </c>
      <c r="B68" s="1" t="s">
        <v>97</v>
      </c>
      <c r="C68" s="1" t="n">
        <v>2019</v>
      </c>
      <c r="D68" s="1" t="s">
        <v>81</v>
      </c>
      <c r="E68" s="1" t="s">
        <v>86</v>
      </c>
      <c r="F68" s="1" t="n">
        <v>71.28</v>
      </c>
      <c r="G68" s="1" t="n">
        <v>72.7</v>
      </c>
      <c r="H68" s="1" t="n">
        <v>71.85</v>
      </c>
      <c r="I68" s="1" t="n">
        <v>68.73</v>
      </c>
      <c r="J68" s="1" t="n">
        <v>71.14</v>
      </c>
      <c r="K68" s="1" t="n">
        <v>28.86</v>
      </c>
      <c r="L68" s="1" t="s">
        <v>38</v>
      </c>
      <c r="M68" s="1" t="n">
        <v>14496.93</v>
      </c>
      <c r="N68" s="1" t="str">
        <f aca="false">IF(K68&gt;65,"High Risk",IF(K68&gt;=40,"Medium Risk","Low Risk"))</f>
        <v>Low Risk</v>
      </c>
      <c r="O68" s="20" t="b">
        <f aca="false">AND(OR($D68=T1_Region,T1_Region="All Regions"),OR($E68=T1_Income,T1_Income="All Income Groups"))</f>
        <v>1</v>
      </c>
    </row>
    <row r="69" customFormat="false" ht="15" hidden="false" customHeight="true" outlineLevel="0" collapsed="false">
      <c r="A69" s="1" t="s">
        <v>96</v>
      </c>
      <c r="B69" s="1" t="s">
        <v>97</v>
      </c>
      <c r="C69" s="1" t="n">
        <v>2020</v>
      </c>
      <c r="D69" s="1" t="s">
        <v>81</v>
      </c>
      <c r="E69" s="1" t="s">
        <v>86</v>
      </c>
      <c r="F69" s="1" t="n">
        <v>72.46</v>
      </c>
      <c r="G69" s="1" t="n">
        <v>69.69</v>
      </c>
      <c r="H69" s="1" t="n">
        <v>68.9</v>
      </c>
      <c r="I69" s="1" t="n">
        <v>68.22</v>
      </c>
      <c r="J69" s="1" t="n">
        <v>69.82</v>
      </c>
      <c r="K69" s="1" t="n">
        <v>30.18</v>
      </c>
      <c r="L69" s="1" t="s">
        <v>38</v>
      </c>
      <c r="M69" s="1" t="n">
        <v>13117.99</v>
      </c>
      <c r="N69" s="1" t="str">
        <f aca="false">IF(K69&gt;65,"High Risk",IF(K69&gt;=40,"Medium Risk","Low Risk"))</f>
        <v>Low Risk</v>
      </c>
      <c r="O69" s="20" t="b">
        <f aca="false">AND(OR($D69=T1_Region,T1_Region="All Regions"),OR($E69=T1_Income,T1_Income="All Income Groups"))</f>
        <v>1</v>
      </c>
    </row>
    <row r="70" customFormat="false" ht="15" hidden="false" customHeight="true" outlineLevel="0" collapsed="false">
      <c r="A70" s="1" t="s">
        <v>96</v>
      </c>
      <c r="B70" s="1" t="s">
        <v>97</v>
      </c>
      <c r="C70" s="1" t="n">
        <v>2021</v>
      </c>
      <c r="D70" s="1" t="s">
        <v>81</v>
      </c>
      <c r="E70" s="1" t="s">
        <v>86</v>
      </c>
      <c r="F70" s="1" t="n">
        <v>71.06</v>
      </c>
      <c r="G70" s="1" t="n">
        <v>69.98</v>
      </c>
      <c r="H70" s="1" t="n">
        <v>68.64</v>
      </c>
      <c r="I70" s="1" t="n">
        <v>68.39</v>
      </c>
      <c r="J70" s="1" t="n">
        <v>69.52</v>
      </c>
      <c r="K70" s="1" t="n">
        <v>30.48</v>
      </c>
      <c r="L70" s="1" t="s">
        <v>38</v>
      </c>
      <c r="M70" s="1" t="n">
        <v>16216.18</v>
      </c>
      <c r="N70" s="1" t="str">
        <f aca="false">IF(K70&gt;65,"High Risk",IF(K70&gt;=40,"Medium Risk","Low Risk"))</f>
        <v>Low Risk</v>
      </c>
      <c r="O70" s="20" t="b">
        <f aca="false">AND(OR($D70=T1_Region,T1_Region="All Regions"),OR($E70=T1_Income,T1_Income="All Income Groups"))</f>
        <v>1</v>
      </c>
    </row>
    <row r="71" customFormat="false" ht="15" hidden="false" customHeight="true" outlineLevel="0" collapsed="false">
      <c r="A71" s="1" t="s">
        <v>96</v>
      </c>
      <c r="B71" s="1" t="s">
        <v>97</v>
      </c>
      <c r="C71" s="1" t="n">
        <v>2022</v>
      </c>
      <c r="D71" s="1" t="s">
        <v>81</v>
      </c>
      <c r="E71" s="1" t="s">
        <v>86</v>
      </c>
      <c r="F71" s="1" t="n">
        <v>71.04</v>
      </c>
      <c r="G71" s="1" t="n">
        <v>69.77</v>
      </c>
      <c r="H71" s="1" t="n">
        <v>67.92</v>
      </c>
      <c r="I71" s="1" t="n">
        <v>65.82</v>
      </c>
      <c r="J71" s="1" t="n">
        <v>68.64</v>
      </c>
      <c r="K71" s="1" t="n">
        <v>31.36</v>
      </c>
      <c r="L71" s="1" t="s">
        <v>38</v>
      </c>
      <c r="M71" s="1" t="n">
        <v>15399.1</v>
      </c>
      <c r="N71" s="1" t="str">
        <f aca="false">IF(K71&gt;65,"High Risk",IF(K71&gt;=40,"Medium Risk","Low Risk"))</f>
        <v>Low Risk</v>
      </c>
      <c r="O71" s="20" t="b">
        <f aca="false">AND(OR($D71=T1_Region,T1_Region="All Regions"),OR($E71=T1_Income,T1_Income="All Income Groups"))</f>
        <v>1</v>
      </c>
    </row>
    <row r="72" customFormat="false" ht="15" hidden="false" customHeight="true" outlineLevel="0" collapsed="false">
      <c r="A72" s="1" t="s">
        <v>96</v>
      </c>
      <c r="B72" s="1" t="s">
        <v>97</v>
      </c>
      <c r="C72" s="1" t="n">
        <v>2023</v>
      </c>
      <c r="D72" s="1" t="s">
        <v>81</v>
      </c>
      <c r="E72" s="1" t="s">
        <v>86</v>
      </c>
      <c r="F72" s="1" t="n">
        <v>68.74</v>
      </c>
      <c r="G72" s="1" t="n">
        <v>68.41</v>
      </c>
      <c r="H72" s="1" t="n">
        <v>68.23</v>
      </c>
      <c r="I72" s="1" t="n">
        <v>67.39</v>
      </c>
      <c r="J72" s="1" t="n">
        <v>68.19</v>
      </c>
      <c r="K72" s="1" t="n">
        <v>31.81</v>
      </c>
      <c r="L72" s="1" t="s">
        <v>38</v>
      </c>
      <c r="M72" s="1" t="n">
        <v>17081.52</v>
      </c>
      <c r="N72" s="1" t="str">
        <f aca="false">IF(K72&gt;65,"High Risk",IF(K72&gt;=40,"Medium Risk","Low Risk"))</f>
        <v>Low Risk</v>
      </c>
      <c r="O72" s="20" t="b">
        <f aca="false">AND(OR($D72=T1_Region,T1_Region="All Regions"),OR($E72=T1_Income,T1_Income="All Income Groups"))</f>
        <v>1</v>
      </c>
    </row>
    <row r="73" customFormat="false" ht="15" hidden="false" customHeight="true" outlineLevel="0" collapsed="false">
      <c r="A73" s="1" t="s">
        <v>96</v>
      </c>
      <c r="B73" s="1" t="s">
        <v>97</v>
      </c>
      <c r="C73" s="1" t="n">
        <v>2024</v>
      </c>
      <c r="D73" s="1" t="s">
        <v>81</v>
      </c>
      <c r="E73" s="1" t="s">
        <v>86</v>
      </c>
      <c r="F73" s="1" t="n">
        <v>70.24</v>
      </c>
      <c r="G73" s="1" t="n">
        <v>68.86</v>
      </c>
      <c r="H73" s="1" t="n">
        <v>67.18</v>
      </c>
      <c r="I73" s="1" t="n">
        <v>67.97</v>
      </c>
      <c r="J73" s="1" t="n">
        <v>68.56</v>
      </c>
      <c r="K73" s="1" t="n">
        <v>31.44</v>
      </c>
      <c r="L73" s="1" t="s">
        <v>38</v>
      </c>
      <c r="M73" s="1" t="n">
        <v>16658.97</v>
      </c>
      <c r="N73" s="1" t="str">
        <f aca="false">IF(K73&gt;65,"High Risk",IF(K73&gt;=40,"Medium Risk","Low Risk"))</f>
        <v>Low Risk</v>
      </c>
      <c r="O73" s="20" t="b">
        <f aca="false">AND(OR($D73=T1_Region,T1_Region="All Regions"),OR($E73=T1_Income,T1_Income="All Income Groups"))</f>
        <v>1</v>
      </c>
    </row>
    <row r="74" customFormat="false" ht="15" hidden="false" customHeight="true" outlineLevel="0" collapsed="false">
      <c r="A74" s="1" t="s">
        <v>98</v>
      </c>
      <c r="B74" s="1" t="s">
        <v>99</v>
      </c>
      <c r="C74" s="1" t="n">
        <v>2013</v>
      </c>
      <c r="D74" s="1" t="s">
        <v>85</v>
      </c>
      <c r="E74" s="1" t="s">
        <v>82</v>
      </c>
      <c r="F74" s="1" t="n">
        <v>38.58</v>
      </c>
      <c r="G74" s="1" t="n">
        <v>43.28</v>
      </c>
      <c r="H74" s="1" t="n">
        <v>50.72</v>
      </c>
      <c r="I74" s="1" t="n">
        <v>56.28</v>
      </c>
      <c r="J74" s="1" t="n">
        <v>47.22</v>
      </c>
      <c r="K74" s="1" t="n">
        <v>52.78</v>
      </c>
      <c r="L74" s="1" t="s">
        <v>37</v>
      </c>
      <c r="M74" s="1" t="n">
        <v>7147.04</v>
      </c>
      <c r="N74" s="1" t="str">
        <f aca="false">IF(K74&gt;65,"High Risk",IF(K74&gt;=40,"Medium Risk","Low Risk"))</f>
        <v>Medium Risk</v>
      </c>
      <c r="O74" s="20" t="b">
        <f aca="false">AND(OR($D74=T1_Region,T1_Region="All Regions"),OR($E74=T1_Income,T1_Income="All Income Groups"))</f>
        <v>1</v>
      </c>
    </row>
    <row r="75" customFormat="false" ht="15" hidden="false" customHeight="true" outlineLevel="0" collapsed="false">
      <c r="A75" s="1" t="s">
        <v>98</v>
      </c>
      <c r="B75" s="1" t="s">
        <v>99</v>
      </c>
      <c r="C75" s="1" t="n">
        <v>2014</v>
      </c>
      <c r="D75" s="1" t="s">
        <v>85</v>
      </c>
      <c r="E75" s="1" t="s">
        <v>82</v>
      </c>
      <c r="F75" s="1" t="n">
        <v>41.75</v>
      </c>
      <c r="G75" s="1" t="n">
        <v>45.08</v>
      </c>
      <c r="H75" s="1" t="n">
        <v>52.2</v>
      </c>
      <c r="I75" s="1" t="n">
        <v>56.95</v>
      </c>
      <c r="J75" s="1" t="n">
        <v>48.99</v>
      </c>
      <c r="K75" s="1" t="n">
        <v>51.01</v>
      </c>
      <c r="L75" s="1" t="s">
        <v>37</v>
      </c>
      <c r="M75" s="1" t="n">
        <v>7781.07</v>
      </c>
      <c r="N75" s="1" t="str">
        <f aca="false">IF(K75&gt;65,"High Risk",IF(K75&gt;=40,"Medium Risk","Low Risk"))</f>
        <v>Medium Risk</v>
      </c>
      <c r="O75" s="20" t="b">
        <f aca="false">AND(OR($D75=T1_Region,T1_Region="All Regions"),OR($E75=T1_Income,T1_Income="All Income Groups"))</f>
        <v>1</v>
      </c>
    </row>
    <row r="76" customFormat="false" ht="15" hidden="false" customHeight="true" outlineLevel="0" collapsed="false">
      <c r="A76" s="1" t="s">
        <v>98</v>
      </c>
      <c r="B76" s="1" t="s">
        <v>99</v>
      </c>
      <c r="C76" s="1" t="n">
        <v>2015</v>
      </c>
      <c r="D76" s="1" t="s">
        <v>85</v>
      </c>
      <c r="E76" s="1" t="s">
        <v>82</v>
      </c>
      <c r="F76" s="1" t="n">
        <v>44.31</v>
      </c>
      <c r="G76" s="1" t="n">
        <v>45.57</v>
      </c>
      <c r="H76" s="1" t="n">
        <v>52.04</v>
      </c>
      <c r="I76" s="1" t="n">
        <v>56.56</v>
      </c>
      <c r="J76" s="1" t="n">
        <v>49.62</v>
      </c>
      <c r="K76" s="1" t="n">
        <v>50.38</v>
      </c>
      <c r="L76" s="1" t="s">
        <v>37</v>
      </c>
      <c r="M76" s="1" t="n">
        <v>8175.33</v>
      </c>
      <c r="N76" s="1" t="str">
        <f aca="false">IF(K76&gt;65,"High Risk",IF(K76&gt;=40,"Medium Risk","Low Risk"))</f>
        <v>Medium Risk</v>
      </c>
      <c r="O76" s="20" t="b">
        <f aca="false">AND(OR($D76=T1_Region,T1_Region="All Regions"),OR($E76=T1_Income,T1_Income="All Income Groups"))</f>
        <v>1</v>
      </c>
    </row>
    <row r="77" customFormat="false" ht="15" hidden="false" customHeight="true" outlineLevel="0" collapsed="false">
      <c r="A77" s="1" t="s">
        <v>98</v>
      </c>
      <c r="B77" s="1" t="s">
        <v>99</v>
      </c>
      <c r="C77" s="1" t="n">
        <v>2016</v>
      </c>
      <c r="D77" s="1" t="s">
        <v>85</v>
      </c>
      <c r="E77" s="1" t="s">
        <v>82</v>
      </c>
      <c r="F77" s="1" t="n">
        <v>45.97</v>
      </c>
      <c r="G77" s="1" t="n">
        <v>46.27</v>
      </c>
      <c r="H77" s="1" t="n">
        <v>52.53</v>
      </c>
      <c r="I77" s="1" t="n">
        <v>57.33</v>
      </c>
      <c r="J77" s="1" t="n">
        <v>50.53</v>
      </c>
      <c r="K77" s="1" t="n">
        <v>49.47</v>
      </c>
      <c r="L77" s="1" t="s">
        <v>37</v>
      </c>
      <c r="M77" s="1" t="n">
        <v>8254.87</v>
      </c>
      <c r="N77" s="1" t="str">
        <f aca="false">IF(K77&gt;65,"High Risk",IF(K77&gt;=40,"Medium Risk","Low Risk"))</f>
        <v>Medium Risk</v>
      </c>
      <c r="O77" s="20" t="b">
        <f aca="false">AND(OR($D77=T1_Region,T1_Region="All Regions"),OR($E77=T1_Income,T1_Income="All Income Groups"))</f>
        <v>1</v>
      </c>
    </row>
    <row r="78" customFormat="false" ht="15" hidden="false" customHeight="true" outlineLevel="0" collapsed="false">
      <c r="A78" s="1" t="s">
        <v>98</v>
      </c>
      <c r="B78" s="1" t="s">
        <v>99</v>
      </c>
      <c r="C78" s="1" t="n">
        <v>2017</v>
      </c>
      <c r="D78" s="1" t="s">
        <v>85</v>
      </c>
      <c r="E78" s="1" t="s">
        <v>82</v>
      </c>
      <c r="F78" s="1" t="n">
        <v>46.86</v>
      </c>
      <c r="G78" s="1" t="n">
        <v>47.75</v>
      </c>
      <c r="H78" s="1" t="n">
        <v>53.75</v>
      </c>
      <c r="I78" s="1" t="n">
        <v>62.42</v>
      </c>
      <c r="J78" s="1" t="n">
        <v>52.69</v>
      </c>
      <c r="K78" s="1" t="n">
        <v>47.31</v>
      </c>
      <c r="L78" s="1" t="s">
        <v>37</v>
      </c>
      <c r="M78" s="1" t="n">
        <v>8979.68</v>
      </c>
      <c r="N78" s="1" t="str">
        <f aca="false">IF(K78&gt;65,"High Risk",IF(K78&gt;=40,"Medium Risk","Low Risk"))</f>
        <v>Medium Risk</v>
      </c>
      <c r="O78" s="20" t="b">
        <f aca="false">AND(OR($D78=T1_Region,T1_Region="All Regions"),OR($E78=T1_Income,T1_Income="All Income Groups"))</f>
        <v>1</v>
      </c>
    </row>
    <row r="79" customFormat="false" ht="15" hidden="false" customHeight="true" outlineLevel="0" collapsed="false">
      <c r="A79" s="1" t="s">
        <v>98</v>
      </c>
      <c r="B79" s="1" t="s">
        <v>99</v>
      </c>
      <c r="C79" s="1" t="n">
        <v>2018</v>
      </c>
      <c r="D79" s="1" t="s">
        <v>85</v>
      </c>
      <c r="E79" s="1" t="s">
        <v>82</v>
      </c>
      <c r="F79" s="1" t="n">
        <v>46.43</v>
      </c>
      <c r="G79" s="1" t="n">
        <v>48.01</v>
      </c>
      <c r="H79" s="1" t="n">
        <v>53.43</v>
      </c>
      <c r="I79" s="1" t="n">
        <v>61.85</v>
      </c>
      <c r="J79" s="1" t="n">
        <v>52.43</v>
      </c>
      <c r="K79" s="1" t="n">
        <v>47.57</v>
      </c>
      <c r="L79" s="1" t="s">
        <v>37</v>
      </c>
      <c r="M79" s="1" t="n">
        <v>10085.66</v>
      </c>
      <c r="N79" s="1" t="str">
        <f aca="false">IF(K79&gt;65,"High Risk",IF(K79&gt;=40,"Medium Risk","Low Risk"))</f>
        <v>Medium Risk</v>
      </c>
      <c r="O79" s="20" t="b">
        <f aca="false">AND(OR($D79=T1_Region,T1_Region="All Regions"),OR($E79=T1_Income,T1_Income="All Income Groups"))</f>
        <v>1</v>
      </c>
    </row>
    <row r="80" customFormat="false" ht="15" hidden="false" customHeight="true" outlineLevel="0" collapsed="false">
      <c r="A80" s="1" t="s">
        <v>98</v>
      </c>
      <c r="B80" s="1" t="s">
        <v>99</v>
      </c>
      <c r="C80" s="1" t="n">
        <v>2019</v>
      </c>
      <c r="D80" s="1" t="s">
        <v>85</v>
      </c>
      <c r="E80" s="1" t="s">
        <v>82</v>
      </c>
      <c r="F80" s="1" t="n">
        <v>46.85</v>
      </c>
      <c r="G80" s="1" t="n">
        <v>47.47</v>
      </c>
      <c r="H80" s="1" t="n">
        <v>53.89</v>
      </c>
      <c r="I80" s="1" t="n">
        <v>63.53</v>
      </c>
      <c r="J80" s="1" t="n">
        <v>52.93</v>
      </c>
      <c r="K80" s="1" t="n">
        <v>47.07</v>
      </c>
      <c r="L80" s="1" t="s">
        <v>37</v>
      </c>
      <c r="M80" s="1" t="n">
        <v>10342.9</v>
      </c>
      <c r="N80" s="1" t="str">
        <f aca="false">IF(K80&gt;65,"High Risk",IF(K80&gt;=40,"Medium Risk","Low Risk"))</f>
        <v>Medium Risk</v>
      </c>
      <c r="O80" s="20" t="b">
        <f aca="false">AND(OR($D80=T1_Region,T1_Region="All Regions"),OR($E80=T1_Income,T1_Income="All Income Groups"))</f>
        <v>1</v>
      </c>
    </row>
    <row r="81" customFormat="false" ht="15" hidden="false" customHeight="true" outlineLevel="0" collapsed="false">
      <c r="A81" s="1" t="s">
        <v>98</v>
      </c>
      <c r="B81" s="1" t="s">
        <v>99</v>
      </c>
      <c r="C81" s="1" t="n">
        <v>2020</v>
      </c>
      <c r="D81" s="1" t="s">
        <v>85</v>
      </c>
      <c r="E81" s="1" t="s">
        <v>82</v>
      </c>
      <c r="F81" s="1" t="n">
        <v>48.93</v>
      </c>
      <c r="G81" s="1" t="n">
        <v>48.2</v>
      </c>
      <c r="H81" s="1" t="n">
        <v>53.81</v>
      </c>
      <c r="I81" s="1" t="n">
        <v>60.72</v>
      </c>
      <c r="J81" s="1" t="n">
        <v>52.92</v>
      </c>
      <c r="K81" s="1" t="n">
        <v>47.08</v>
      </c>
      <c r="L81" s="1" t="s">
        <v>37</v>
      </c>
      <c r="M81" s="1" t="n">
        <v>10627.46</v>
      </c>
      <c r="N81" s="1" t="str">
        <f aca="false">IF(K81&gt;65,"High Risk",IF(K81&gt;=40,"Medium Risk","Low Risk"))</f>
        <v>Medium Risk</v>
      </c>
      <c r="O81" s="20" t="b">
        <f aca="false">AND(OR($D81=T1_Region,T1_Region="All Regions"),OR($E81=T1_Income,T1_Income="All Income Groups"))</f>
        <v>1</v>
      </c>
    </row>
    <row r="82" customFormat="false" ht="15" hidden="false" customHeight="true" outlineLevel="0" collapsed="false">
      <c r="A82" s="1" t="s">
        <v>98</v>
      </c>
      <c r="B82" s="1" t="s">
        <v>99</v>
      </c>
      <c r="C82" s="1" t="n">
        <v>2021</v>
      </c>
      <c r="D82" s="1" t="s">
        <v>85</v>
      </c>
      <c r="E82" s="1" t="s">
        <v>82</v>
      </c>
      <c r="F82" s="1" t="n">
        <v>48.98</v>
      </c>
      <c r="G82" s="1" t="n">
        <v>47.69</v>
      </c>
      <c r="H82" s="1" t="n">
        <v>54.47</v>
      </c>
      <c r="I82" s="1" t="n">
        <v>61.47</v>
      </c>
      <c r="J82" s="1" t="n">
        <v>53.15</v>
      </c>
      <c r="K82" s="1" t="n">
        <v>46.85</v>
      </c>
      <c r="L82" s="1" t="s">
        <v>37</v>
      </c>
      <c r="M82" s="1" t="n">
        <v>12887.44</v>
      </c>
      <c r="N82" s="1" t="str">
        <f aca="false">IF(K82&gt;65,"High Risk",IF(K82&gt;=40,"Medium Risk","Low Risk"))</f>
        <v>Medium Risk</v>
      </c>
      <c r="O82" s="20" t="b">
        <f aca="false">AND(OR($D82=T1_Region,T1_Region="All Regions"),OR($E82=T1_Income,T1_Income="All Income Groups"))</f>
        <v>1</v>
      </c>
    </row>
    <row r="83" customFormat="false" ht="15" hidden="false" customHeight="true" outlineLevel="0" collapsed="false">
      <c r="A83" s="1" t="s">
        <v>98</v>
      </c>
      <c r="B83" s="1" t="s">
        <v>99</v>
      </c>
      <c r="C83" s="1" t="n">
        <v>2022</v>
      </c>
      <c r="D83" s="1" t="s">
        <v>85</v>
      </c>
      <c r="E83" s="1" t="s">
        <v>82</v>
      </c>
      <c r="F83" s="1" t="n">
        <v>48.73</v>
      </c>
      <c r="G83" s="1" t="n">
        <v>47.26</v>
      </c>
      <c r="H83" s="1" t="n">
        <v>53.43</v>
      </c>
      <c r="I83" s="1" t="n">
        <v>61.64</v>
      </c>
      <c r="J83" s="1" t="n">
        <v>52.77</v>
      </c>
      <c r="K83" s="1" t="n">
        <v>47.23</v>
      </c>
      <c r="L83" s="1" t="s">
        <v>37</v>
      </c>
      <c r="M83" s="1" t="n">
        <v>12970.61</v>
      </c>
      <c r="N83" s="1" t="str">
        <f aca="false">IF(K83&gt;65,"High Risk",IF(K83&gt;=40,"Medium Risk","Low Risk"))</f>
        <v>Medium Risk</v>
      </c>
      <c r="O83" s="20" t="b">
        <f aca="false">AND(OR($D83=T1_Region,T1_Region="All Regions"),OR($E83=T1_Income,T1_Income="All Income Groups"))</f>
        <v>1</v>
      </c>
    </row>
    <row r="84" customFormat="false" ht="15" hidden="false" customHeight="true" outlineLevel="0" collapsed="false">
      <c r="A84" s="1" t="s">
        <v>98</v>
      </c>
      <c r="B84" s="1" t="s">
        <v>99</v>
      </c>
      <c r="C84" s="1" t="n">
        <v>2023</v>
      </c>
      <c r="D84" s="1" t="s">
        <v>85</v>
      </c>
      <c r="E84" s="1" t="s">
        <v>82</v>
      </c>
      <c r="F84" s="1" t="n">
        <v>50.16</v>
      </c>
      <c r="G84" s="1" t="n">
        <v>47.46</v>
      </c>
      <c r="H84" s="1" t="n">
        <v>53.57</v>
      </c>
      <c r="I84" s="1" t="n">
        <v>62.91</v>
      </c>
      <c r="J84" s="1" t="n">
        <v>53.53</v>
      </c>
      <c r="K84" s="1" t="n">
        <v>46.47</v>
      </c>
      <c r="L84" s="1" t="s">
        <v>37</v>
      </c>
      <c r="M84" s="1" t="n">
        <v>12951.18</v>
      </c>
      <c r="N84" s="1" t="str">
        <f aca="false">IF(K84&gt;65,"High Risk",IF(K84&gt;=40,"Medium Risk","Low Risk"))</f>
        <v>Medium Risk</v>
      </c>
      <c r="O84" s="20" t="b">
        <f aca="false">AND(OR($D84=T1_Region,T1_Region="All Regions"),OR($E84=T1_Income,T1_Income="All Income Groups"))</f>
        <v>1</v>
      </c>
    </row>
    <row r="85" customFormat="false" ht="15" hidden="false" customHeight="true" outlineLevel="0" collapsed="false">
      <c r="A85" s="1" t="s">
        <v>98</v>
      </c>
      <c r="B85" s="1" t="s">
        <v>99</v>
      </c>
      <c r="C85" s="1" t="n">
        <v>2024</v>
      </c>
      <c r="D85" s="1" t="s">
        <v>85</v>
      </c>
      <c r="E85" s="1" t="s">
        <v>82</v>
      </c>
      <c r="F85" s="1" t="n">
        <v>49.65</v>
      </c>
      <c r="G85" s="1" t="n">
        <v>46.99</v>
      </c>
      <c r="H85" s="1" t="n">
        <v>53.74</v>
      </c>
      <c r="I85" s="1" t="n">
        <v>63.28</v>
      </c>
      <c r="J85" s="1" t="n">
        <v>53.41</v>
      </c>
      <c r="K85" s="1" t="n">
        <v>46.59</v>
      </c>
      <c r="L85" s="1" t="s">
        <v>37</v>
      </c>
      <c r="M85" s="1" t="n">
        <v>13293.12</v>
      </c>
      <c r="N85" s="1" t="str">
        <f aca="false">IF(K85&gt;65,"High Risk",IF(K85&gt;=40,"Medium Risk","Low Risk"))</f>
        <v>Medium Risk</v>
      </c>
      <c r="O85" s="20" t="b">
        <f aca="false">AND(OR($D85=T1_Region,T1_Region="All Regions"),OR($E85=T1_Income,T1_Income="All Income Groups"))</f>
        <v>1</v>
      </c>
    </row>
    <row r="86" customFormat="false" ht="15" hidden="false" customHeight="true" outlineLevel="0" collapsed="false">
      <c r="A86" s="1" t="s">
        <v>100</v>
      </c>
      <c r="B86" s="1" t="s">
        <v>101</v>
      </c>
      <c r="C86" s="1" t="n">
        <v>2013</v>
      </c>
      <c r="D86" s="1" t="s">
        <v>81</v>
      </c>
      <c r="E86" s="1" t="s">
        <v>82</v>
      </c>
      <c r="F86" s="1" t="n">
        <v>38.92</v>
      </c>
      <c r="G86" s="1" t="n">
        <v>48.64</v>
      </c>
      <c r="H86" s="1" t="n">
        <v>58.59</v>
      </c>
      <c r="I86" s="1" t="n">
        <v>43.7</v>
      </c>
      <c r="J86" s="1" t="n">
        <v>47.46</v>
      </c>
      <c r="K86" s="1" t="n">
        <v>52.54</v>
      </c>
      <c r="L86" s="1" t="s">
        <v>37</v>
      </c>
      <c r="M86" s="1" t="n">
        <v>8279.1</v>
      </c>
      <c r="N86" s="1" t="str">
        <f aca="false">IF(K86&gt;65,"High Risk",IF(K86&gt;=40,"Medium Risk","Low Risk"))</f>
        <v>Medium Risk</v>
      </c>
      <c r="O86" s="20" t="b">
        <f aca="false">AND(OR($D86=T1_Region,T1_Region="All Regions"),OR($E86=T1_Income,T1_Income="All Income Groups"))</f>
        <v>1</v>
      </c>
    </row>
    <row r="87" customFormat="false" ht="15" hidden="false" customHeight="true" outlineLevel="0" collapsed="false">
      <c r="A87" s="1" t="s">
        <v>100</v>
      </c>
      <c r="B87" s="1" t="s">
        <v>101</v>
      </c>
      <c r="C87" s="1" t="n">
        <v>2014</v>
      </c>
      <c r="D87" s="1" t="s">
        <v>81</v>
      </c>
      <c r="E87" s="1" t="s">
        <v>82</v>
      </c>
      <c r="F87" s="1" t="n">
        <v>40.34</v>
      </c>
      <c r="G87" s="1" t="n">
        <v>49.88</v>
      </c>
      <c r="H87" s="1" t="n">
        <v>58.9</v>
      </c>
      <c r="I87" s="1" t="n">
        <v>48.89</v>
      </c>
      <c r="J87" s="1" t="n">
        <v>49.5</v>
      </c>
      <c r="K87" s="1" t="n">
        <v>50.5</v>
      </c>
      <c r="L87" s="1" t="s">
        <v>37</v>
      </c>
      <c r="M87" s="1" t="n">
        <v>8187.21</v>
      </c>
      <c r="N87" s="1" t="str">
        <f aca="false">IF(K87&gt;65,"High Risk",IF(K87&gt;=40,"Medium Risk","Low Risk"))</f>
        <v>Medium Risk</v>
      </c>
      <c r="O87" s="20" t="b">
        <f aca="false">AND(OR($D87=T1_Region,T1_Region="All Regions"),OR($E87=T1_Income,T1_Income="All Income Groups"))</f>
        <v>1</v>
      </c>
    </row>
    <row r="88" customFormat="false" ht="15" hidden="false" customHeight="true" outlineLevel="0" collapsed="false">
      <c r="A88" s="1" t="s">
        <v>100</v>
      </c>
      <c r="B88" s="1" t="s">
        <v>101</v>
      </c>
      <c r="C88" s="1" t="n">
        <v>2015</v>
      </c>
      <c r="D88" s="1" t="s">
        <v>81</v>
      </c>
      <c r="E88" s="1" t="s">
        <v>82</v>
      </c>
      <c r="F88" s="1" t="n">
        <v>41.43</v>
      </c>
      <c r="G88" s="1" t="n">
        <v>50.09</v>
      </c>
      <c r="H88" s="1" t="n">
        <v>59.74</v>
      </c>
      <c r="I88" s="1" t="n">
        <v>49.57</v>
      </c>
      <c r="J88" s="1" t="n">
        <v>50.21</v>
      </c>
      <c r="K88" s="1" t="n">
        <v>49.79</v>
      </c>
      <c r="L88" s="1" t="s">
        <v>37</v>
      </c>
      <c r="M88" s="1" t="n">
        <v>6248.51</v>
      </c>
      <c r="N88" s="1" t="str">
        <f aca="false">IF(K88&gt;65,"High Risk",IF(K88&gt;=40,"Medium Risk","Low Risk"))</f>
        <v>Medium Risk</v>
      </c>
      <c r="O88" s="20" t="b">
        <f aca="false">AND(OR($D88=T1_Region,T1_Region="All Regions"),OR($E88=T1_Income,T1_Income="All Income Groups"))</f>
        <v>1</v>
      </c>
    </row>
    <row r="89" customFormat="false" ht="15" hidden="false" customHeight="true" outlineLevel="0" collapsed="false">
      <c r="A89" s="1" t="s">
        <v>100</v>
      </c>
      <c r="B89" s="1" t="s">
        <v>101</v>
      </c>
      <c r="C89" s="1" t="n">
        <v>2016</v>
      </c>
      <c r="D89" s="1" t="s">
        <v>81</v>
      </c>
      <c r="E89" s="1" t="s">
        <v>82</v>
      </c>
      <c r="F89" s="1" t="n">
        <v>40.38</v>
      </c>
      <c r="G89" s="1" t="n">
        <v>50.96</v>
      </c>
      <c r="H89" s="1" t="n">
        <v>59.17</v>
      </c>
      <c r="I89" s="1" t="n">
        <v>50.97</v>
      </c>
      <c r="J89" s="1" t="n">
        <v>50.37</v>
      </c>
      <c r="K89" s="1" t="n">
        <v>49.63</v>
      </c>
      <c r="L89" s="1" t="s">
        <v>37</v>
      </c>
      <c r="M89" s="1" t="n">
        <v>5959.84</v>
      </c>
      <c r="N89" s="1" t="str">
        <f aca="false">IF(K89&gt;65,"High Risk",IF(K89&gt;=40,"Medium Risk","Low Risk"))</f>
        <v>Medium Risk</v>
      </c>
      <c r="O89" s="20" t="b">
        <f aca="false">AND(OR($D89=T1_Region,T1_Region="All Regions"),OR($E89=T1_Income,T1_Income="All Income Groups"))</f>
        <v>1</v>
      </c>
    </row>
    <row r="90" customFormat="false" ht="15" hidden="false" customHeight="true" outlineLevel="0" collapsed="false">
      <c r="A90" s="1" t="s">
        <v>100</v>
      </c>
      <c r="B90" s="1" t="s">
        <v>101</v>
      </c>
      <c r="C90" s="1" t="n">
        <v>2017</v>
      </c>
      <c r="D90" s="1" t="s">
        <v>81</v>
      </c>
      <c r="E90" s="1" t="s">
        <v>82</v>
      </c>
      <c r="F90" s="1" t="n">
        <v>39.54</v>
      </c>
      <c r="G90" s="1" t="n">
        <v>50.68</v>
      </c>
      <c r="H90" s="1" t="n">
        <v>57.52</v>
      </c>
      <c r="I90" s="1" t="n">
        <v>52.57</v>
      </c>
      <c r="J90" s="1" t="n">
        <v>50.08</v>
      </c>
      <c r="K90" s="1" t="n">
        <v>49.92</v>
      </c>
      <c r="L90" s="1" t="s">
        <v>37</v>
      </c>
      <c r="M90" s="1" t="n">
        <v>6479.53</v>
      </c>
      <c r="N90" s="1" t="str">
        <f aca="false">IF(K90&gt;65,"High Risk",IF(K90&gt;=40,"Medium Risk","Low Risk"))</f>
        <v>Medium Risk</v>
      </c>
      <c r="O90" s="20" t="b">
        <f aca="false">AND(OR($D90=T1_Region,T1_Region="All Regions"),OR($E90=T1_Income,T1_Income="All Income Groups"))</f>
        <v>1</v>
      </c>
    </row>
    <row r="91" customFormat="false" ht="15" hidden="false" customHeight="true" outlineLevel="0" collapsed="false">
      <c r="A91" s="1" t="s">
        <v>100</v>
      </c>
      <c r="B91" s="1" t="s">
        <v>101</v>
      </c>
      <c r="C91" s="1" t="n">
        <v>2018</v>
      </c>
      <c r="D91" s="1" t="s">
        <v>81</v>
      </c>
      <c r="E91" s="1" t="s">
        <v>82</v>
      </c>
      <c r="F91" s="1" t="n">
        <v>41.41</v>
      </c>
      <c r="G91" s="1" t="n">
        <v>49.7</v>
      </c>
      <c r="H91" s="1" t="n">
        <v>56.58</v>
      </c>
      <c r="I91" s="1" t="n">
        <v>54.53</v>
      </c>
      <c r="J91" s="1" t="n">
        <v>50.55</v>
      </c>
      <c r="K91" s="1" t="n">
        <v>49.45</v>
      </c>
      <c r="L91" s="1" t="s">
        <v>37</v>
      </c>
      <c r="M91" s="1" t="n">
        <v>6816.97</v>
      </c>
      <c r="N91" s="1" t="str">
        <f aca="false">IF(K91&gt;65,"High Risk",IF(K91&gt;=40,"Medium Risk","Low Risk"))</f>
        <v>Medium Risk</v>
      </c>
      <c r="O91" s="20" t="b">
        <f aca="false">AND(OR($D91=T1_Region,T1_Region="All Regions"),OR($E91=T1_Income,T1_Income="All Income Groups"))</f>
        <v>1</v>
      </c>
    </row>
    <row r="92" customFormat="false" ht="15" hidden="false" customHeight="true" outlineLevel="0" collapsed="false">
      <c r="A92" s="1" t="s">
        <v>100</v>
      </c>
      <c r="B92" s="1" t="s">
        <v>101</v>
      </c>
      <c r="C92" s="1" t="n">
        <v>2019</v>
      </c>
      <c r="D92" s="1" t="s">
        <v>81</v>
      </c>
      <c r="E92" s="1" t="s">
        <v>82</v>
      </c>
      <c r="F92" s="1" t="n">
        <v>42.34</v>
      </c>
      <c r="G92" s="1" t="n">
        <v>49.17</v>
      </c>
      <c r="H92" s="1" t="n">
        <v>58.53</v>
      </c>
      <c r="I92" s="1" t="n">
        <v>50.43</v>
      </c>
      <c r="J92" s="1" t="n">
        <v>50.12</v>
      </c>
      <c r="K92" s="1" t="n">
        <v>49.88</v>
      </c>
      <c r="L92" s="1" t="s">
        <v>37</v>
      </c>
      <c r="M92" s="1" t="n">
        <v>6472.55</v>
      </c>
      <c r="N92" s="1" t="str">
        <f aca="false">IF(K92&gt;65,"High Risk",IF(K92&gt;=40,"Medium Risk","Low Risk"))</f>
        <v>Medium Risk</v>
      </c>
      <c r="O92" s="20" t="b">
        <f aca="false">AND(OR($D92=T1_Region,T1_Region="All Regions"),OR($E92=T1_Income,T1_Income="All Income Groups"))</f>
        <v>1</v>
      </c>
    </row>
    <row r="93" customFormat="false" ht="15" hidden="false" customHeight="true" outlineLevel="0" collapsed="false">
      <c r="A93" s="1" t="s">
        <v>100</v>
      </c>
      <c r="B93" s="1" t="s">
        <v>101</v>
      </c>
      <c r="C93" s="1" t="n">
        <v>2020</v>
      </c>
      <c r="D93" s="1" t="s">
        <v>81</v>
      </c>
      <c r="E93" s="1" t="s">
        <v>82</v>
      </c>
      <c r="F93" s="1" t="n">
        <v>42.66</v>
      </c>
      <c r="G93" s="1" t="n">
        <v>48.66</v>
      </c>
      <c r="H93" s="1" t="n">
        <v>57.4</v>
      </c>
      <c r="I93" s="1" t="n">
        <v>54.25</v>
      </c>
      <c r="J93" s="1" t="n">
        <v>50.74</v>
      </c>
      <c r="K93" s="1" t="n">
        <v>49.26</v>
      </c>
      <c r="L93" s="1" t="s">
        <v>37</v>
      </c>
      <c r="M93" s="1" t="n">
        <v>5339.69</v>
      </c>
      <c r="N93" s="1" t="str">
        <f aca="false">IF(K93&gt;65,"High Risk",IF(K93&gt;=40,"Medium Risk","Low Risk"))</f>
        <v>Medium Risk</v>
      </c>
      <c r="O93" s="20" t="b">
        <f aca="false">AND(OR($D93=T1_Region,T1_Region="All Regions"),OR($E93=T1_Income,T1_Income="All Income Groups"))</f>
        <v>1</v>
      </c>
    </row>
    <row r="94" customFormat="false" ht="15" hidden="false" customHeight="true" outlineLevel="0" collapsed="false">
      <c r="A94" s="1" t="s">
        <v>100</v>
      </c>
      <c r="B94" s="1" t="s">
        <v>101</v>
      </c>
      <c r="C94" s="1" t="n">
        <v>2021</v>
      </c>
      <c r="D94" s="1" t="s">
        <v>81</v>
      </c>
      <c r="E94" s="1" t="s">
        <v>82</v>
      </c>
      <c r="F94" s="1" t="n">
        <v>42.39</v>
      </c>
      <c r="G94" s="1" t="n">
        <v>48.24</v>
      </c>
      <c r="H94" s="1" t="n">
        <v>58.59</v>
      </c>
      <c r="I94" s="1" t="n">
        <v>48.56</v>
      </c>
      <c r="J94" s="1" t="n">
        <v>49.45</v>
      </c>
      <c r="K94" s="1" t="n">
        <v>50.55</v>
      </c>
      <c r="L94" s="1" t="s">
        <v>37</v>
      </c>
      <c r="M94" s="1" t="n">
        <v>6222.62</v>
      </c>
      <c r="N94" s="1" t="str">
        <f aca="false">IF(K94&gt;65,"High Risk",IF(K94&gt;=40,"Medium Risk","Low Risk"))</f>
        <v>Medium Risk</v>
      </c>
      <c r="O94" s="20" t="b">
        <f aca="false">AND(OR($D94=T1_Region,T1_Region="All Regions"),OR($E94=T1_Income,T1_Income="All Income Groups"))</f>
        <v>1</v>
      </c>
    </row>
    <row r="95" customFormat="false" ht="15" hidden="false" customHeight="true" outlineLevel="0" collapsed="false">
      <c r="A95" s="1" t="s">
        <v>100</v>
      </c>
      <c r="B95" s="1" t="s">
        <v>101</v>
      </c>
      <c r="C95" s="1" t="n">
        <v>2022</v>
      </c>
      <c r="D95" s="1" t="s">
        <v>81</v>
      </c>
      <c r="E95" s="1" t="s">
        <v>82</v>
      </c>
      <c r="F95" s="1" t="n">
        <v>42.66</v>
      </c>
      <c r="G95" s="1" t="n">
        <v>47.85</v>
      </c>
      <c r="H95" s="1" t="n">
        <v>57.8</v>
      </c>
      <c r="I95" s="1" t="n">
        <v>52.07</v>
      </c>
      <c r="J95" s="1" t="n">
        <v>50.1</v>
      </c>
      <c r="K95" s="1" t="n">
        <v>49.9</v>
      </c>
      <c r="L95" s="1" t="s">
        <v>37</v>
      </c>
      <c r="M95" s="1" t="n">
        <v>6680.45</v>
      </c>
      <c r="N95" s="1" t="str">
        <f aca="false">IF(K95&gt;65,"High Risk",IF(K95&gt;=40,"Medium Risk","Low Risk"))</f>
        <v>Medium Risk</v>
      </c>
      <c r="O95" s="20" t="b">
        <f aca="false">AND(OR($D95=T1_Region,T1_Region="All Regions"),OR($E95=T1_Income,T1_Income="All Income Groups"))</f>
        <v>1</v>
      </c>
    </row>
    <row r="96" customFormat="false" ht="15" hidden="false" customHeight="true" outlineLevel="0" collapsed="false">
      <c r="A96" s="1" t="s">
        <v>100</v>
      </c>
      <c r="B96" s="1" t="s">
        <v>101</v>
      </c>
      <c r="C96" s="1" t="n">
        <v>2023</v>
      </c>
      <c r="D96" s="1" t="s">
        <v>81</v>
      </c>
      <c r="E96" s="1" t="s">
        <v>82</v>
      </c>
      <c r="F96" s="1" t="n">
        <v>41.6</v>
      </c>
      <c r="G96" s="1" t="n">
        <v>47.24</v>
      </c>
      <c r="H96" s="1" t="n">
        <v>57.02</v>
      </c>
      <c r="I96" s="1" t="n">
        <v>52.24</v>
      </c>
      <c r="J96" s="1" t="n">
        <v>49.52</v>
      </c>
      <c r="K96" s="1" t="n">
        <v>50.48</v>
      </c>
      <c r="L96" s="1" t="s">
        <v>37</v>
      </c>
      <c r="M96" s="1" t="n">
        <v>7012.49</v>
      </c>
      <c r="N96" s="1" t="str">
        <f aca="false">IF(K96&gt;65,"High Risk",IF(K96&gt;=40,"Medium Risk","Low Risk"))</f>
        <v>Medium Risk</v>
      </c>
      <c r="O96" s="20" t="b">
        <f aca="false">AND(OR($D96=T1_Region,T1_Region="All Regions"),OR($E96=T1_Income,T1_Income="All Income Groups"))</f>
        <v>1</v>
      </c>
    </row>
    <row r="97" customFormat="false" ht="15" hidden="false" customHeight="true" outlineLevel="0" collapsed="false">
      <c r="A97" s="1" t="s">
        <v>100</v>
      </c>
      <c r="B97" s="1" t="s">
        <v>101</v>
      </c>
      <c r="C97" s="1" t="n">
        <v>2024</v>
      </c>
      <c r="D97" s="1" t="s">
        <v>81</v>
      </c>
      <c r="E97" s="1" t="s">
        <v>82</v>
      </c>
      <c r="F97" s="1" t="n">
        <v>41.91</v>
      </c>
      <c r="G97" s="1" t="n">
        <v>47.33</v>
      </c>
      <c r="H97" s="1" t="n">
        <v>55.07</v>
      </c>
      <c r="I97" s="1" t="n">
        <v>49.31</v>
      </c>
      <c r="J97" s="1" t="n">
        <v>48.41</v>
      </c>
      <c r="K97" s="1" t="n">
        <v>51.59</v>
      </c>
      <c r="L97" s="1" t="s">
        <v>37</v>
      </c>
      <c r="M97" s="1" t="n">
        <v>7951.09</v>
      </c>
      <c r="N97" s="1" t="str">
        <f aca="false">IF(K97&gt;65,"High Risk",IF(K97&gt;=40,"Medium Risk","Low Risk"))</f>
        <v>Medium Risk</v>
      </c>
      <c r="O97" s="20" t="b">
        <f aca="false">AND(OR($D97=T1_Region,T1_Region="All Regions"),OR($E97=T1_Income,T1_Income="All Income Groups"))</f>
        <v>1</v>
      </c>
    </row>
    <row r="98" customFormat="false" ht="15" hidden="false" customHeight="true" outlineLevel="0" collapsed="false">
      <c r="A98" s="1" t="s">
        <v>102</v>
      </c>
      <c r="B98" s="1" t="s">
        <v>103</v>
      </c>
      <c r="C98" s="1" t="n">
        <v>2013</v>
      </c>
      <c r="D98" s="1" t="s">
        <v>104</v>
      </c>
      <c r="E98" s="1" t="s">
        <v>105</v>
      </c>
      <c r="F98" s="1" t="n">
        <v>20.11</v>
      </c>
      <c r="G98" s="1" t="n">
        <v>29.15</v>
      </c>
      <c r="H98" s="1" t="n">
        <v>35.19</v>
      </c>
      <c r="I98" s="1" t="n">
        <v>27.88</v>
      </c>
      <c r="J98" s="1" t="n">
        <v>28.08</v>
      </c>
      <c r="K98" s="1" t="n">
        <v>71.92</v>
      </c>
      <c r="L98" s="1" t="s">
        <v>37</v>
      </c>
      <c r="M98" s="1" t="n">
        <v>460.37</v>
      </c>
      <c r="N98" s="1" t="str">
        <f aca="false">IF(K98&gt;65,"High Risk",IF(K98&gt;=40,"Medium Risk","Low Risk"))</f>
        <v>High Risk</v>
      </c>
      <c r="O98" s="20" t="b">
        <f aca="false">AND(OR($D98=T1_Region,T1_Region="All Regions"),OR($E98=T1_Income,T1_Income="All Income Groups"))</f>
        <v>1</v>
      </c>
    </row>
    <row r="99" customFormat="false" ht="15" hidden="false" customHeight="true" outlineLevel="0" collapsed="false">
      <c r="A99" s="1" t="s">
        <v>102</v>
      </c>
      <c r="B99" s="1" t="s">
        <v>103</v>
      </c>
      <c r="C99" s="1" t="n">
        <v>2014</v>
      </c>
      <c r="D99" s="1" t="s">
        <v>104</v>
      </c>
      <c r="E99" s="1" t="s">
        <v>105</v>
      </c>
      <c r="F99" s="1" t="n">
        <v>18.76</v>
      </c>
      <c r="G99" s="1" t="n">
        <v>30.27</v>
      </c>
      <c r="H99" s="1" t="n">
        <v>35.63</v>
      </c>
      <c r="I99" s="1" t="n">
        <v>27.49</v>
      </c>
      <c r="J99" s="1" t="n">
        <v>28.04</v>
      </c>
      <c r="K99" s="1" t="n">
        <v>71.96</v>
      </c>
      <c r="L99" s="1" t="s">
        <v>37</v>
      </c>
      <c r="M99" s="1" t="n">
        <v>489.18</v>
      </c>
      <c r="N99" s="1" t="str">
        <f aca="false">IF(K99&gt;65,"High Risk",IF(K99&gt;=40,"Medium Risk","Low Risk"))</f>
        <v>High Risk</v>
      </c>
      <c r="O99" s="20" t="b">
        <f aca="false">AND(OR($D99=T1_Region,T1_Region="All Regions"),OR($E99=T1_Income,T1_Income="All Income Groups"))</f>
        <v>1</v>
      </c>
    </row>
    <row r="100" customFormat="false" ht="15" hidden="false" customHeight="true" outlineLevel="0" collapsed="false">
      <c r="A100" s="1" t="s">
        <v>102</v>
      </c>
      <c r="B100" s="1" t="s">
        <v>103</v>
      </c>
      <c r="C100" s="1" t="n">
        <v>2015</v>
      </c>
      <c r="D100" s="1" t="s">
        <v>104</v>
      </c>
      <c r="E100" s="1" t="s">
        <v>105</v>
      </c>
      <c r="F100" s="1" t="n">
        <v>19.65</v>
      </c>
      <c r="G100" s="1" t="n">
        <v>29.94</v>
      </c>
      <c r="H100" s="1" t="n">
        <v>34.91</v>
      </c>
      <c r="I100" s="1" t="n">
        <v>31.55</v>
      </c>
      <c r="J100" s="1" t="n">
        <v>29.01</v>
      </c>
      <c r="K100" s="1" t="n">
        <v>70.99</v>
      </c>
      <c r="L100" s="1" t="s">
        <v>37</v>
      </c>
      <c r="M100" s="1" t="n">
        <v>495.83</v>
      </c>
      <c r="N100" s="1" t="str">
        <f aca="false">IF(K100&gt;65,"High Risk",IF(K100&gt;=40,"Medium Risk","Low Risk"))</f>
        <v>High Risk</v>
      </c>
      <c r="O100" s="20" t="b">
        <f aca="false">AND(OR($D100=T1_Region,T1_Region="All Regions"),OR($E100=T1_Income,T1_Income="All Income Groups"))</f>
        <v>1</v>
      </c>
    </row>
    <row r="101" customFormat="false" ht="15" hidden="false" customHeight="true" outlineLevel="0" collapsed="false">
      <c r="A101" s="1" t="s">
        <v>102</v>
      </c>
      <c r="B101" s="1" t="s">
        <v>103</v>
      </c>
      <c r="C101" s="1" t="n">
        <v>2016</v>
      </c>
      <c r="D101" s="1" t="s">
        <v>104</v>
      </c>
      <c r="E101" s="1" t="s">
        <v>105</v>
      </c>
      <c r="F101" s="1" t="n">
        <v>19.13</v>
      </c>
      <c r="G101" s="1" t="n">
        <v>30.68</v>
      </c>
      <c r="H101" s="1" t="n">
        <v>35.82</v>
      </c>
      <c r="I101" s="1" t="n">
        <v>27.99</v>
      </c>
      <c r="J101" s="1" t="n">
        <v>28.41</v>
      </c>
      <c r="K101" s="1" t="n">
        <v>71.59</v>
      </c>
      <c r="L101" s="1" t="s">
        <v>37</v>
      </c>
      <c r="M101" s="1" t="n">
        <v>459.77</v>
      </c>
      <c r="N101" s="1" t="str">
        <f aca="false">IF(K101&gt;65,"High Risk",IF(K101&gt;=40,"Medium Risk","Low Risk"))</f>
        <v>High Risk</v>
      </c>
      <c r="O101" s="20" t="b">
        <f aca="false">AND(OR($D101=T1_Region,T1_Region="All Regions"),OR($E101=T1_Income,T1_Income="All Income Groups"))</f>
        <v>1</v>
      </c>
    </row>
    <row r="102" customFormat="false" ht="15" hidden="false" customHeight="true" outlineLevel="0" collapsed="false">
      <c r="A102" s="1" t="s">
        <v>102</v>
      </c>
      <c r="B102" s="1" t="s">
        <v>103</v>
      </c>
      <c r="C102" s="1" t="n">
        <v>2017</v>
      </c>
      <c r="D102" s="1" t="s">
        <v>104</v>
      </c>
      <c r="E102" s="1" t="s">
        <v>105</v>
      </c>
      <c r="F102" s="1" t="n">
        <v>18.83</v>
      </c>
      <c r="G102" s="1" t="n">
        <v>29.43</v>
      </c>
      <c r="H102" s="1" t="n">
        <v>34.65</v>
      </c>
      <c r="I102" s="1" t="n">
        <v>27.23</v>
      </c>
      <c r="J102" s="1" t="n">
        <v>27.54</v>
      </c>
      <c r="K102" s="1" t="n">
        <v>72.46</v>
      </c>
      <c r="L102" s="1" t="s">
        <v>37</v>
      </c>
      <c r="M102" s="1" t="n">
        <v>431.05</v>
      </c>
      <c r="N102" s="1" t="str">
        <f aca="false">IF(K102&gt;65,"High Risk",IF(K102&gt;=40,"Medium Risk","Low Risk"))</f>
        <v>High Risk</v>
      </c>
      <c r="O102" s="20" t="b">
        <f aca="false">AND(OR($D102=T1_Region,T1_Region="All Regions"),OR($E102=T1_Income,T1_Income="All Income Groups"))</f>
        <v>1</v>
      </c>
    </row>
    <row r="103" customFormat="false" ht="15" hidden="false" customHeight="true" outlineLevel="0" collapsed="false">
      <c r="A103" s="1" t="s">
        <v>102</v>
      </c>
      <c r="B103" s="1" t="s">
        <v>103</v>
      </c>
      <c r="C103" s="1" t="n">
        <v>2018</v>
      </c>
      <c r="D103" s="1" t="s">
        <v>104</v>
      </c>
      <c r="E103" s="1" t="s">
        <v>105</v>
      </c>
      <c r="F103" s="1" t="n">
        <v>16.85</v>
      </c>
      <c r="G103" s="1" t="n">
        <v>28.45</v>
      </c>
      <c r="H103" s="1" t="n">
        <v>34.43</v>
      </c>
      <c r="I103" s="1" t="n">
        <v>33.5</v>
      </c>
      <c r="J103" s="1" t="n">
        <v>28.31</v>
      </c>
      <c r="K103" s="1" t="n">
        <v>71.69</v>
      </c>
      <c r="L103" s="1" t="s">
        <v>37</v>
      </c>
      <c r="M103" s="1" t="n">
        <v>518.17</v>
      </c>
      <c r="N103" s="1" t="str">
        <f aca="false">IF(K103&gt;65,"High Risk",IF(K103&gt;=40,"Medium Risk","Low Risk"))</f>
        <v>High Risk</v>
      </c>
      <c r="O103" s="20" t="b">
        <f aca="false">AND(OR($D103=T1_Region,T1_Region="All Regions"),OR($E103=T1_Income,T1_Income="All Income Groups"))</f>
        <v>1</v>
      </c>
    </row>
    <row r="104" customFormat="false" ht="15" hidden="false" customHeight="true" outlineLevel="0" collapsed="false">
      <c r="A104" s="1" t="s">
        <v>102</v>
      </c>
      <c r="B104" s="1" t="s">
        <v>103</v>
      </c>
      <c r="C104" s="1" t="n">
        <v>2019</v>
      </c>
      <c r="D104" s="1" t="s">
        <v>104</v>
      </c>
      <c r="E104" s="1" t="s">
        <v>105</v>
      </c>
      <c r="F104" s="1" t="n">
        <v>16.34</v>
      </c>
      <c r="G104" s="1" t="n">
        <v>28.58</v>
      </c>
      <c r="H104" s="1" t="n">
        <v>33.35</v>
      </c>
      <c r="I104" s="1" t="n">
        <v>37.76</v>
      </c>
      <c r="J104" s="1" t="n">
        <v>29.01</v>
      </c>
      <c r="K104" s="1" t="n">
        <v>70.99</v>
      </c>
      <c r="L104" s="1" t="s">
        <v>37</v>
      </c>
      <c r="M104" s="1" t="n">
        <v>504</v>
      </c>
      <c r="N104" s="1" t="str">
        <f aca="false">IF(K104&gt;65,"High Risk",IF(K104&gt;=40,"Medium Risk","Low Risk"))</f>
        <v>High Risk</v>
      </c>
      <c r="O104" s="20" t="b">
        <f aca="false">AND(OR($D104=T1_Region,T1_Region="All Regions"),OR($E104=T1_Income,T1_Income="All Income Groups"))</f>
        <v>1</v>
      </c>
    </row>
    <row r="105" customFormat="false" ht="15" hidden="false" customHeight="true" outlineLevel="0" collapsed="false">
      <c r="A105" s="1" t="s">
        <v>102</v>
      </c>
      <c r="B105" s="1" t="s">
        <v>103</v>
      </c>
      <c r="C105" s="1" t="n">
        <v>2020</v>
      </c>
      <c r="D105" s="1" t="s">
        <v>104</v>
      </c>
      <c r="E105" s="1" t="s">
        <v>105</v>
      </c>
      <c r="F105" s="1" t="n">
        <v>18.36</v>
      </c>
      <c r="G105" s="1" t="n">
        <v>29.18</v>
      </c>
      <c r="H105" s="1" t="n">
        <v>33.28</v>
      </c>
      <c r="I105" s="1" t="n">
        <v>35.04</v>
      </c>
      <c r="J105" s="1" t="n">
        <v>28.96</v>
      </c>
      <c r="K105" s="1" t="n">
        <v>71.04</v>
      </c>
      <c r="L105" s="1" t="s">
        <v>37</v>
      </c>
      <c r="M105" s="1" t="n">
        <v>486.43</v>
      </c>
      <c r="N105" s="1" t="str">
        <f aca="false">IF(K105&gt;65,"High Risk",IF(K105&gt;=40,"Medium Risk","Low Risk"))</f>
        <v>High Risk</v>
      </c>
      <c r="O105" s="20" t="b">
        <f aca="false">AND(OR($D105=T1_Region,T1_Region="All Regions"),OR($E105=T1_Income,T1_Income="All Income Groups"))</f>
        <v>1</v>
      </c>
    </row>
    <row r="106" customFormat="false" ht="15" hidden="false" customHeight="true" outlineLevel="0" collapsed="false">
      <c r="A106" s="1" t="s">
        <v>102</v>
      </c>
      <c r="B106" s="1" t="s">
        <v>103</v>
      </c>
      <c r="C106" s="1" t="n">
        <v>2021</v>
      </c>
      <c r="D106" s="1" t="s">
        <v>104</v>
      </c>
      <c r="E106" s="1" t="s">
        <v>105</v>
      </c>
      <c r="F106" s="1" t="n">
        <v>17.41</v>
      </c>
      <c r="G106" s="1" t="n">
        <v>30.61</v>
      </c>
      <c r="H106" s="1" t="n">
        <v>34</v>
      </c>
      <c r="I106" s="1" t="n">
        <v>38.03</v>
      </c>
      <c r="J106" s="1" t="n">
        <v>30.01</v>
      </c>
      <c r="K106" s="1" t="n">
        <v>69.99</v>
      </c>
      <c r="L106" s="1" t="s">
        <v>37</v>
      </c>
      <c r="M106" s="1" t="n">
        <v>595.74</v>
      </c>
      <c r="N106" s="1" t="str">
        <f aca="false">IF(K106&gt;65,"High Risk",IF(K106&gt;=40,"Medium Risk","Low Risk"))</f>
        <v>High Risk</v>
      </c>
      <c r="O106" s="20" t="b">
        <f aca="false">AND(OR($D106=T1_Region,T1_Region="All Regions"),OR($E106=T1_Income,T1_Income="All Income Groups"))</f>
        <v>1</v>
      </c>
    </row>
    <row r="107" customFormat="false" ht="15" hidden="false" customHeight="true" outlineLevel="0" collapsed="false">
      <c r="A107" s="1" t="s">
        <v>102</v>
      </c>
      <c r="B107" s="1" t="s">
        <v>103</v>
      </c>
      <c r="C107" s="1" t="n">
        <v>2022</v>
      </c>
      <c r="D107" s="1" t="s">
        <v>104</v>
      </c>
      <c r="E107" s="1" t="s">
        <v>105</v>
      </c>
      <c r="F107" s="1" t="n">
        <v>17.28</v>
      </c>
      <c r="G107" s="1" t="n">
        <v>29.76</v>
      </c>
      <c r="H107" s="1" t="n">
        <v>34.24</v>
      </c>
      <c r="I107" s="1" t="n">
        <v>34.37</v>
      </c>
      <c r="J107" s="1" t="n">
        <v>28.91</v>
      </c>
      <c r="K107" s="1" t="n">
        <v>71.09</v>
      </c>
      <c r="L107" s="1" t="s">
        <v>37</v>
      </c>
      <c r="M107" s="1" t="n">
        <v>687.74</v>
      </c>
      <c r="N107" s="1" t="str">
        <f aca="false">IF(K107&gt;65,"High Risk",IF(K107&gt;=40,"Medium Risk","Low Risk"))</f>
        <v>High Risk</v>
      </c>
      <c r="O107" s="20" t="b">
        <f aca="false">AND(OR($D107=T1_Region,T1_Region="All Regions"),OR($E107=T1_Income,T1_Income="All Income Groups"))</f>
        <v>1</v>
      </c>
    </row>
    <row r="108" customFormat="false" ht="15" hidden="false" customHeight="true" outlineLevel="0" collapsed="false">
      <c r="A108" s="1" t="s">
        <v>102</v>
      </c>
      <c r="B108" s="1" t="s">
        <v>103</v>
      </c>
      <c r="C108" s="1" t="n">
        <v>2023</v>
      </c>
      <c r="D108" s="1" t="s">
        <v>104</v>
      </c>
      <c r="E108" s="1" t="s">
        <v>105</v>
      </c>
      <c r="F108" s="1" t="n">
        <v>17.71</v>
      </c>
      <c r="G108" s="1" t="n">
        <v>29.33</v>
      </c>
      <c r="H108" s="1" t="n">
        <v>35.02</v>
      </c>
      <c r="I108" s="1" t="n">
        <v>32.05</v>
      </c>
      <c r="J108" s="1" t="n">
        <v>28.53</v>
      </c>
      <c r="K108" s="1" t="n">
        <v>71.47</v>
      </c>
      <c r="L108" s="1" t="s">
        <v>37</v>
      </c>
      <c r="M108" s="1" t="n">
        <v>660.21</v>
      </c>
      <c r="N108" s="1" t="str">
        <f aca="false">IF(K108&gt;65,"High Risk",IF(K108&gt;=40,"Medium Risk","Low Risk"))</f>
        <v>High Risk</v>
      </c>
      <c r="O108" s="20" t="b">
        <f aca="false">AND(OR($D108=T1_Region,T1_Region="All Regions"),OR($E108=T1_Income,T1_Income="All Income Groups"))</f>
        <v>1</v>
      </c>
    </row>
    <row r="109" customFormat="false" ht="15" hidden="false" customHeight="true" outlineLevel="0" collapsed="false">
      <c r="A109" s="1" t="s">
        <v>102</v>
      </c>
      <c r="B109" s="1" t="s">
        <v>103</v>
      </c>
      <c r="C109" s="1" t="n">
        <v>2024</v>
      </c>
      <c r="D109" s="1" t="s">
        <v>104</v>
      </c>
      <c r="E109" s="1" t="s">
        <v>105</v>
      </c>
      <c r="F109" s="1" t="n">
        <v>17.18</v>
      </c>
      <c r="G109" s="1" t="n">
        <v>28.97</v>
      </c>
      <c r="H109" s="1" t="n">
        <v>34.6</v>
      </c>
      <c r="I109" s="1" t="n">
        <v>29.7</v>
      </c>
      <c r="J109" s="1" t="n">
        <v>27.61</v>
      </c>
      <c r="K109" s="1" t="n">
        <v>72.39</v>
      </c>
      <c r="L109" s="1" t="s">
        <v>37</v>
      </c>
      <c r="M109" s="1" t="n">
        <v>692.89</v>
      </c>
      <c r="N109" s="1" t="str">
        <f aca="false">IF(K109&gt;65,"High Risk",IF(K109&gt;=40,"Medium Risk","Low Risk"))</f>
        <v>High Risk</v>
      </c>
      <c r="O109" s="20" t="b">
        <f aca="false">AND(OR($D109=T1_Region,T1_Region="All Regions"),OR($E109=T1_Income,T1_Income="All Income Groups"))</f>
        <v>1</v>
      </c>
    </row>
    <row r="110" customFormat="false" ht="15" hidden="false" customHeight="true" outlineLevel="0" collapsed="false">
      <c r="A110" s="1" t="s">
        <v>106</v>
      </c>
      <c r="B110" s="1" t="s">
        <v>107</v>
      </c>
      <c r="C110" s="1" t="n">
        <v>2013</v>
      </c>
      <c r="D110" s="1" t="s">
        <v>108</v>
      </c>
      <c r="E110" s="1" t="s">
        <v>90</v>
      </c>
      <c r="F110" s="1" t="n">
        <v>36.4</v>
      </c>
      <c r="G110" s="1" t="n">
        <v>43.28</v>
      </c>
      <c r="H110" s="1" t="n">
        <v>43.21</v>
      </c>
      <c r="I110" s="1" t="n">
        <v>35.03</v>
      </c>
      <c r="J110" s="1" t="n">
        <v>39.48</v>
      </c>
      <c r="K110" s="1" t="n">
        <v>60.52</v>
      </c>
      <c r="L110" s="1" t="s">
        <v>37</v>
      </c>
      <c r="M110" s="1" t="n">
        <v>3025.53</v>
      </c>
      <c r="N110" s="1" t="str">
        <f aca="false">IF(K110&gt;65,"High Risk",IF(K110&gt;=40,"Medium Risk","Low Risk"))</f>
        <v>Medium Risk</v>
      </c>
      <c r="O110" s="20" t="b">
        <f aca="false">AND(OR($D110=T1_Region,T1_Region="All Regions"),OR($E110=T1_Income,T1_Income="All Income Groups"))</f>
        <v>1</v>
      </c>
    </row>
    <row r="111" customFormat="false" ht="15" hidden="false" customHeight="true" outlineLevel="0" collapsed="false">
      <c r="A111" s="1" t="s">
        <v>106</v>
      </c>
      <c r="B111" s="1" t="s">
        <v>107</v>
      </c>
      <c r="C111" s="1" t="n">
        <v>2014</v>
      </c>
      <c r="D111" s="1" t="s">
        <v>108</v>
      </c>
      <c r="E111" s="1" t="s">
        <v>90</v>
      </c>
      <c r="F111" s="1" t="n">
        <v>36.19</v>
      </c>
      <c r="G111" s="1" t="n">
        <v>42.51</v>
      </c>
      <c r="H111" s="1" t="n">
        <v>43.15</v>
      </c>
      <c r="I111" s="1" t="n">
        <v>40.12</v>
      </c>
      <c r="J111" s="1" t="n">
        <v>40.49</v>
      </c>
      <c r="K111" s="1" t="n">
        <v>59.51</v>
      </c>
      <c r="L111" s="1" t="s">
        <v>37</v>
      </c>
      <c r="M111" s="1" t="n">
        <v>3133.39</v>
      </c>
      <c r="N111" s="1" t="str">
        <f aca="false">IF(K111&gt;65,"High Risk",IF(K111&gt;=40,"Medium Risk","Low Risk"))</f>
        <v>Medium Risk</v>
      </c>
      <c r="O111" s="20" t="b">
        <f aca="false">AND(OR($D111=T1_Region,T1_Region="All Regions"),OR($E111=T1_Income,T1_Income="All Income Groups"))</f>
        <v>1</v>
      </c>
    </row>
    <row r="112" customFormat="false" ht="15" hidden="false" customHeight="true" outlineLevel="0" collapsed="false">
      <c r="A112" s="1" t="s">
        <v>106</v>
      </c>
      <c r="B112" s="1" t="s">
        <v>107</v>
      </c>
      <c r="C112" s="1" t="n">
        <v>2015</v>
      </c>
      <c r="D112" s="1" t="s">
        <v>108</v>
      </c>
      <c r="E112" s="1" t="s">
        <v>90</v>
      </c>
      <c r="F112" s="1" t="n">
        <v>36.44</v>
      </c>
      <c r="G112" s="1" t="n">
        <v>42.54</v>
      </c>
      <c r="H112" s="1" t="n">
        <v>43.25</v>
      </c>
      <c r="I112" s="1" t="n">
        <v>39.97</v>
      </c>
      <c r="J112" s="1" t="n">
        <v>40.55</v>
      </c>
      <c r="K112" s="1" t="n">
        <v>59.45</v>
      </c>
      <c r="L112" s="1" t="s">
        <v>37</v>
      </c>
      <c r="M112" s="1" t="n">
        <v>3306.98</v>
      </c>
      <c r="N112" s="1" t="str">
        <f aca="false">IF(K112&gt;65,"High Risk",IF(K112&gt;=40,"Medium Risk","Low Risk"))</f>
        <v>Medium Risk</v>
      </c>
      <c r="O112" s="20" t="b">
        <f aca="false">AND(OR($D112=T1_Region,T1_Region="All Regions"),OR($E112=T1_Income,T1_Income="All Income Groups"))</f>
        <v>1</v>
      </c>
    </row>
    <row r="113" customFormat="false" ht="15" hidden="false" customHeight="true" outlineLevel="0" collapsed="false">
      <c r="A113" s="1" t="s">
        <v>106</v>
      </c>
      <c r="B113" s="1" t="s">
        <v>107</v>
      </c>
      <c r="C113" s="1" t="n">
        <v>2016</v>
      </c>
      <c r="D113" s="1" t="s">
        <v>108</v>
      </c>
      <c r="E113" s="1" t="s">
        <v>90</v>
      </c>
      <c r="F113" s="1" t="n">
        <v>38.8</v>
      </c>
      <c r="G113" s="1" t="n">
        <v>42.43</v>
      </c>
      <c r="H113" s="1" t="n">
        <v>42.76</v>
      </c>
      <c r="I113" s="1" t="n">
        <v>39.59</v>
      </c>
      <c r="J113" s="1" t="n">
        <v>40.9</v>
      </c>
      <c r="K113" s="1" t="n">
        <v>59.1</v>
      </c>
      <c r="L113" s="1" t="s">
        <v>37</v>
      </c>
      <c r="M113" s="1" t="n">
        <v>3270.63</v>
      </c>
      <c r="N113" s="1" t="str">
        <f aca="false">IF(K113&gt;65,"High Risk",IF(K113&gt;=40,"Medium Risk","Low Risk"))</f>
        <v>Medium Risk</v>
      </c>
      <c r="O113" s="20" t="b">
        <f aca="false">AND(OR($D113=T1_Region,T1_Region="All Regions"),OR($E113=T1_Income,T1_Income="All Income Groups"))</f>
        <v>1</v>
      </c>
    </row>
    <row r="114" customFormat="false" ht="15" hidden="false" customHeight="true" outlineLevel="0" collapsed="false">
      <c r="A114" s="1" t="s">
        <v>106</v>
      </c>
      <c r="B114" s="1" t="s">
        <v>107</v>
      </c>
      <c r="C114" s="1" t="n">
        <v>2017</v>
      </c>
      <c r="D114" s="1" t="s">
        <v>108</v>
      </c>
      <c r="E114" s="1" t="s">
        <v>90</v>
      </c>
      <c r="F114" s="1" t="n">
        <v>39.64</v>
      </c>
      <c r="G114" s="1" t="n">
        <v>43.63</v>
      </c>
      <c r="H114" s="1" t="n">
        <v>43.69</v>
      </c>
      <c r="I114" s="1" t="n">
        <v>40.76</v>
      </c>
      <c r="J114" s="1" t="n">
        <v>41.93</v>
      </c>
      <c r="K114" s="1" t="n">
        <v>58.07</v>
      </c>
      <c r="L114" s="1" t="s">
        <v>37</v>
      </c>
      <c r="M114" s="1" t="n">
        <v>2395.1</v>
      </c>
      <c r="N114" s="1" t="str">
        <f aca="false">IF(K114&gt;65,"High Risk",IF(K114&gt;=40,"Medium Risk","Low Risk"))</f>
        <v>Medium Risk</v>
      </c>
      <c r="O114" s="20" t="b">
        <f aca="false">AND(OR($D114=T1_Region,T1_Region="All Regions"),OR($E114=T1_Income,T1_Income="All Income Groups"))</f>
        <v>1</v>
      </c>
    </row>
    <row r="115" customFormat="false" ht="15" hidden="false" customHeight="true" outlineLevel="0" collapsed="false">
      <c r="A115" s="1" t="s">
        <v>106</v>
      </c>
      <c r="B115" s="1" t="s">
        <v>107</v>
      </c>
      <c r="C115" s="1" t="n">
        <v>2018</v>
      </c>
      <c r="D115" s="1" t="s">
        <v>108</v>
      </c>
      <c r="E115" s="1" t="s">
        <v>90</v>
      </c>
      <c r="F115" s="1" t="n">
        <v>38.24</v>
      </c>
      <c r="G115" s="1" t="n">
        <v>44.23</v>
      </c>
      <c r="H115" s="1" t="n">
        <v>43.15</v>
      </c>
      <c r="I115" s="1" t="n">
        <v>44.34</v>
      </c>
      <c r="J115" s="1" t="n">
        <v>42.49</v>
      </c>
      <c r="K115" s="1" t="n">
        <v>57.51</v>
      </c>
      <c r="L115" s="1" t="s">
        <v>37</v>
      </c>
      <c r="M115" s="1" t="n">
        <v>2484.7</v>
      </c>
      <c r="N115" s="1" t="str">
        <f aca="false">IF(K115&gt;65,"High Risk",IF(K115&gt;=40,"Medium Risk","Low Risk"))</f>
        <v>Medium Risk</v>
      </c>
      <c r="O115" s="20" t="b">
        <f aca="false">AND(OR($D115=T1_Region,T1_Region="All Regions"),OR($E115=T1_Income,T1_Income="All Income Groups"))</f>
        <v>1</v>
      </c>
    </row>
    <row r="116" customFormat="false" ht="15" hidden="false" customHeight="true" outlineLevel="0" collapsed="false">
      <c r="A116" s="1" t="s">
        <v>106</v>
      </c>
      <c r="B116" s="1" t="s">
        <v>107</v>
      </c>
      <c r="C116" s="1" t="n">
        <v>2019</v>
      </c>
      <c r="D116" s="1" t="s">
        <v>108</v>
      </c>
      <c r="E116" s="1" t="s">
        <v>90</v>
      </c>
      <c r="F116" s="1" t="n">
        <v>34.66</v>
      </c>
      <c r="G116" s="1" t="n">
        <v>44.07</v>
      </c>
      <c r="H116" s="1" t="n">
        <v>43.78</v>
      </c>
      <c r="I116" s="1" t="n">
        <v>45.45</v>
      </c>
      <c r="J116" s="1" t="n">
        <v>41.99</v>
      </c>
      <c r="K116" s="1" t="n">
        <v>58.01</v>
      </c>
      <c r="L116" s="1" t="s">
        <v>37</v>
      </c>
      <c r="M116" s="1" t="n">
        <v>2962.99</v>
      </c>
      <c r="N116" s="1" t="str">
        <f aca="false">IF(K116&gt;65,"High Risk",IF(K116&gt;=40,"Medium Risk","Low Risk"))</f>
        <v>Medium Risk</v>
      </c>
      <c r="O116" s="20" t="b">
        <f aca="false">AND(OR($D116=T1_Region,T1_Region="All Regions"),OR($E116=T1_Income,T1_Income="All Income Groups"))</f>
        <v>1</v>
      </c>
    </row>
    <row r="117" customFormat="false" ht="15" hidden="false" customHeight="true" outlineLevel="0" collapsed="false">
      <c r="A117" s="1" t="s">
        <v>106</v>
      </c>
      <c r="B117" s="1" t="s">
        <v>107</v>
      </c>
      <c r="C117" s="1" t="n">
        <v>2020</v>
      </c>
      <c r="D117" s="1" t="s">
        <v>108</v>
      </c>
      <c r="E117" s="1" t="s">
        <v>90</v>
      </c>
      <c r="F117" s="1" t="n">
        <v>31.83</v>
      </c>
      <c r="G117" s="1" t="n">
        <v>43.37</v>
      </c>
      <c r="H117" s="1" t="n">
        <v>44.84</v>
      </c>
      <c r="I117" s="1" t="n">
        <v>46.81</v>
      </c>
      <c r="J117" s="1" t="n">
        <v>41.71</v>
      </c>
      <c r="K117" s="1" t="n">
        <v>58.29</v>
      </c>
      <c r="L117" s="1" t="s">
        <v>37</v>
      </c>
      <c r="M117" s="1" t="n">
        <v>3511.11</v>
      </c>
      <c r="N117" s="1" t="str">
        <f aca="false">IF(K117&gt;65,"High Risk",IF(K117&gt;=40,"Medium Risk","Low Risk"))</f>
        <v>Medium Risk</v>
      </c>
      <c r="O117" s="20" t="b">
        <f aca="false">AND(OR($D117=T1_Region,T1_Region="All Regions"),OR($E117=T1_Income,T1_Income="All Income Groups"))</f>
        <v>1</v>
      </c>
    </row>
    <row r="118" customFormat="false" ht="15" hidden="false" customHeight="true" outlineLevel="0" collapsed="false">
      <c r="A118" s="1" t="s">
        <v>106</v>
      </c>
      <c r="B118" s="1" t="s">
        <v>107</v>
      </c>
      <c r="C118" s="1" t="n">
        <v>2021</v>
      </c>
      <c r="D118" s="1" t="s">
        <v>108</v>
      </c>
      <c r="E118" s="1" t="s">
        <v>90</v>
      </c>
      <c r="F118" s="1" t="n">
        <v>31.92</v>
      </c>
      <c r="G118" s="1" t="n">
        <v>42.88</v>
      </c>
      <c r="H118" s="1" t="n">
        <v>45.87</v>
      </c>
      <c r="I118" s="1" t="n">
        <v>47.67</v>
      </c>
      <c r="J118" s="1" t="n">
        <v>42.08</v>
      </c>
      <c r="K118" s="1" t="n">
        <v>57.92</v>
      </c>
      <c r="L118" s="1" t="s">
        <v>37</v>
      </c>
      <c r="M118" s="1" t="n">
        <v>3827.35</v>
      </c>
      <c r="N118" s="1" t="str">
        <f aca="false">IF(K118&gt;65,"High Risk",IF(K118&gt;=40,"Medium Risk","Low Risk"))</f>
        <v>Medium Risk</v>
      </c>
      <c r="O118" s="20" t="b">
        <f aca="false">AND(OR($D118=T1_Region,T1_Region="All Regions"),OR($E118=T1_Income,T1_Income="All Income Groups"))</f>
        <v>1</v>
      </c>
    </row>
    <row r="119" customFormat="false" ht="15" hidden="false" customHeight="true" outlineLevel="0" collapsed="false">
      <c r="A119" s="1" t="s">
        <v>106</v>
      </c>
      <c r="B119" s="1" t="s">
        <v>107</v>
      </c>
      <c r="C119" s="1" t="n">
        <v>2022</v>
      </c>
      <c r="D119" s="1" t="s">
        <v>108</v>
      </c>
      <c r="E119" s="1" t="s">
        <v>90</v>
      </c>
      <c r="F119" s="1" t="n">
        <v>32.11</v>
      </c>
      <c r="G119" s="1" t="n">
        <v>43.66</v>
      </c>
      <c r="H119" s="1" t="n">
        <v>44.32</v>
      </c>
      <c r="I119" s="1" t="n">
        <v>49.59</v>
      </c>
      <c r="J119" s="1" t="n">
        <v>42.42</v>
      </c>
      <c r="K119" s="1" t="n">
        <v>57.58</v>
      </c>
      <c r="L119" s="1" t="s">
        <v>37</v>
      </c>
      <c r="M119" s="1" t="n">
        <v>4233.31</v>
      </c>
      <c r="N119" s="1" t="str">
        <f aca="false">IF(K119&gt;65,"High Risk",IF(K119&gt;=40,"Medium Risk","Low Risk"))</f>
        <v>Medium Risk</v>
      </c>
      <c r="O119" s="20" t="b">
        <f aca="false">AND(OR($D119=T1_Region,T1_Region="All Regions"),OR($E119=T1_Income,T1_Income="All Income Groups"))</f>
        <v>1</v>
      </c>
    </row>
    <row r="120" customFormat="false" ht="15" hidden="false" customHeight="true" outlineLevel="0" collapsed="false">
      <c r="A120" s="1" t="s">
        <v>106</v>
      </c>
      <c r="B120" s="1" t="s">
        <v>107</v>
      </c>
      <c r="C120" s="1" t="n">
        <v>2023</v>
      </c>
      <c r="D120" s="1" t="s">
        <v>108</v>
      </c>
      <c r="E120" s="1" t="s">
        <v>90</v>
      </c>
      <c r="F120" s="1" t="n">
        <v>31.32</v>
      </c>
      <c r="G120" s="1" t="n">
        <v>43.58</v>
      </c>
      <c r="H120" s="1" t="n">
        <v>45.82</v>
      </c>
      <c r="I120" s="1" t="n">
        <v>50.53</v>
      </c>
      <c r="J120" s="1" t="n">
        <v>42.81</v>
      </c>
      <c r="K120" s="1" t="n">
        <v>57.19</v>
      </c>
      <c r="L120" s="1" t="s">
        <v>37</v>
      </c>
      <c r="M120" s="1" t="n">
        <v>3456.79</v>
      </c>
      <c r="N120" s="1" t="str">
        <f aca="false">IF(K120&gt;65,"High Risk",IF(K120&gt;=40,"Medium Risk","Low Risk"))</f>
        <v>Medium Risk</v>
      </c>
      <c r="O120" s="20" t="b">
        <f aca="false">AND(OR($D120=T1_Region,T1_Region="All Regions"),OR($E120=T1_Income,T1_Income="All Income Groups"))</f>
        <v>1</v>
      </c>
    </row>
    <row r="121" customFormat="false" ht="15" hidden="false" customHeight="true" outlineLevel="0" collapsed="false">
      <c r="A121" s="1" t="s">
        <v>106</v>
      </c>
      <c r="B121" s="1" t="s">
        <v>107</v>
      </c>
      <c r="C121" s="1" t="n">
        <v>2024</v>
      </c>
      <c r="D121" s="1" t="s">
        <v>108</v>
      </c>
      <c r="E121" s="1" t="s">
        <v>90</v>
      </c>
      <c r="F121" s="1" t="n">
        <v>31.12</v>
      </c>
      <c r="G121" s="1" t="n">
        <v>44.03</v>
      </c>
      <c r="H121" s="1" t="n">
        <v>46.99</v>
      </c>
      <c r="I121" s="1" t="n">
        <v>49.19</v>
      </c>
      <c r="J121" s="1" t="n">
        <v>42.83</v>
      </c>
      <c r="K121" s="1" t="n">
        <v>57.17</v>
      </c>
      <c r="L121" s="1" t="s">
        <v>37</v>
      </c>
      <c r="M121" s="1" t="n">
        <v>3338.47</v>
      </c>
      <c r="N121" s="1" t="str">
        <f aca="false">IF(K121&gt;65,"High Risk",IF(K121&gt;=40,"Medium Risk","Low Risk"))</f>
        <v>Medium Risk</v>
      </c>
      <c r="O121" s="20" t="b">
        <f aca="false">AND(OR($D121=T1_Region,T1_Region="All Regions"),OR($E121=T1_Income,T1_Income="All Income Groups"))</f>
        <v>1</v>
      </c>
    </row>
    <row r="122" customFormat="false" ht="15" hidden="false" customHeight="true" outlineLevel="0" collapsed="false">
      <c r="A122" s="1" t="s">
        <v>109</v>
      </c>
      <c r="B122" s="1" t="s">
        <v>110</v>
      </c>
      <c r="C122" s="1" t="n">
        <v>2013</v>
      </c>
      <c r="D122" s="1" t="s">
        <v>104</v>
      </c>
      <c r="E122" s="1" t="s">
        <v>105</v>
      </c>
      <c r="F122" s="1" t="n">
        <v>36.37</v>
      </c>
      <c r="G122" s="1" t="n">
        <v>42.41</v>
      </c>
      <c r="H122" s="1" t="n">
        <v>38.02</v>
      </c>
      <c r="I122" s="1" t="n">
        <v>42.06</v>
      </c>
      <c r="J122" s="1" t="n">
        <v>39.71</v>
      </c>
      <c r="K122" s="1" t="n">
        <v>60.29</v>
      </c>
      <c r="L122" s="1" t="s">
        <v>37</v>
      </c>
      <c r="M122" s="1" t="n">
        <v>484.04</v>
      </c>
      <c r="N122" s="1" t="str">
        <f aca="false">IF(K122&gt;65,"High Risk",IF(K122&gt;=40,"Medium Risk","Low Risk"))</f>
        <v>Medium Risk</v>
      </c>
      <c r="O122" s="20" t="b">
        <f aca="false">AND(OR($D122=T1_Region,T1_Region="All Regions"),OR($E122=T1_Income,T1_Income="All Income Groups"))</f>
        <v>1</v>
      </c>
    </row>
    <row r="123" customFormat="false" ht="15" hidden="false" customHeight="true" outlineLevel="0" collapsed="false">
      <c r="A123" s="1" t="s">
        <v>109</v>
      </c>
      <c r="B123" s="1" t="s">
        <v>110</v>
      </c>
      <c r="C123" s="1" t="n">
        <v>2014</v>
      </c>
      <c r="D123" s="1" t="s">
        <v>104</v>
      </c>
      <c r="E123" s="1" t="s">
        <v>105</v>
      </c>
      <c r="F123" s="1" t="n">
        <v>36.86</v>
      </c>
      <c r="G123" s="1" t="n">
        <v>44</v>
      </c>
      <c r="H123" s="1" t="n">
        <v>40.6</v>
      </c>
      <c r="I123" s="1" t="n">
        <v>45.8</v>
      </c>
      <c r="J123" s="1" t="n">
        <v>41.81</v>
      </c>
      <c r="K123" s="1" t="n">
        <v>58.19</v>
      </c>
      <c r="L123" s="1" t="s">
        <v>37</v>
      </c>
      <c r="M123" s="1" t="n">
        <v>549.99</v>
      </c>
      <c r="N123" s="1" t="str">
        <f aca="false">IF(K123&gt;65,"High Risk",IF(K123&gt;=40,"Medium Risk","Low Risk"))</f>
        <v>Medium Risk</v>
      </c>
      <c r="O123" s="20" t="b">
        <f aca="false">AND(OR($D123=T1_Region,T1_Region="All Regions"),OR($E123=T1_Income,T1_Income="All Income Groups"))</f>
        <v>1</v>
      </c>
    </row>
    <row r="124" customFormat="false" ht="15" hidden="false" customHeight="true" outlineLevel="0" collapsed="false">
      <c r="A124" s="1" t="s">
        <v>109</v>
      </c>
      <c r="B124" s="1" t="s">
        <v>110</v>
      </c>
      <c r="C124" s="1" t="n">
        <v>2015</v>
      </c>
      <c r="D124" s="1" t="s">
        <v>104</v>
      </c>
      <c r="E124" s="1" t="s">
        <v>105</v>
      </c>
      <c r="F124" s="1" t="n">
        <v>37.34</v>
      </c>
      <c r="G124" s="1" t="n">
        <v>43.11</v>
      </c>
      <c r="H124" s="1" t="n">
        <v>40.62</v>
      </c>
      <c r="I124" s="1" t="n">
        <v>44.31</v>
      </c>
      <c r="J124" s="1" t="n">
        <v>41.34</v>
      </c>
      <c r="K124" s="1" t="n">
        <v>58.66</v>
      </c>
      <c r="L124" s="1" t="s">
        <v>37</v>
      </c>
      <c r="M124" s="1" t="n">
        <v>597.91</v>
      </c>
      <c r="N124" s="1" t="str">
        <f aca="false">IF(K124&gt;65,"High Risk",IF(K124&gt;=40,"Medium Risk","Low Risk"))</f>
        <v>Medium Risk</v>
      </c>
      <c r="O124" s="20" t="b">
        <f aca="false">AND(OR($D124=T1_Region,T1_Region="All Regions"),OR($E124=T1_Income,T1_Income="All Income Groups"))</f>
        <v>1</v>
      </c>
    </row>
    <row r="125" customFormat="false" ht="15" hidden="false" customHeight="true" outlineLevel="0" collapsed="false">
      <c r="A125" s="1" t="s">
        <v>109</v>
      </c>
      <c r="B125" s="1" t="s">
        <v>110</v>
      </c>
      <c r="C125" s="1" t="n">
        <v>2016</v>
      </c>
      <c r="D125" s="1" t="s">
        <v>104</v>
      </c>
      <c r="E125" s="1" t="s">
        <v>105</v>
      </c>
      <c r="F125" s="1" t="n">
        <v>39.03</v>
      </c>
      <c r="G125" s="1" t="n">
        <v>43.22</v>
      </c>
      <c r="H125" s="1" t="n">
        <v>39.7</v>
      </c>
      <c r="I125" s="1" t="n">
        <v>41.3</v>
      </c>
      <c r="J125" s="1" t="n">
        <v>40.81</v>
      </c>
      <c r="K125" s="1" t="n">
        <v>59.19</v>
      </c>
      <c r="L125" s="1" t="s">
        <v>37</v>
      </c>
      <c r="M125" s="1" t="n">
        <v>641.65</v>
      </c>
      <c r="N125" s="1" t="str">
        <f aca="false">IF(K125&gt;65,"High Risk",IF(K125&gt;=40,"Medium Risk","Low Risk"))</f>
        <v>Medium Risk</v>
      </c>
      <c r="O125" s="20" t="b">
        <f aca="false">AND(OR($D125=T1_Region,T1_Region="All Regions"),OR($E125=T1_Income,T1_Income="All Income Groups"))</f>
        <v>1</v>
      </c>
    </row>
    <row r="126" customFormat="false" ht="15" hidden="false" customHeight="true" outlineLevel="0" collapsed="false">
      <c r="A126" s="1" t="s">
        <v>109</v>
      </c>
      <c r="B126" s="1" t="s">
        <v>110</v>
      </c>
      <c r="C126" s="1" t="n">
        <v>2017</v>
      </c>
      <c r="D126" s="1" t="s">
        <v>104</v>
      </c>
      <c r="E126" s="1" t="s">
        <v>105</v>
      </c>
      <c r="F126" s="1" t="n">
        <v>36.42</v>
      </c>
      <c r="G126" s="1" t="n">
        <v>43.5</v>
      </c>
      <c r="H126" s="1" t="n">
        <v>40.69</v>
      </c>
      <c r="I126" s="1" t="n">
        <v>39.94</v>
      </c>
      <c r="J126" s="1" t="n">
        <v>40.14</v>
      </c>
      <c r="K126" s="1" t="n">
        <v>59.86</v>
      </c>
      <c r="L126" s="1" t="s">
        <v>37</v>
      </c>
      <c r="M126" s="1" t="n">
        <v>696.35</v>
      </c>
      <c r="N126" s="1" t="str">
        <f aca="false">IF(K126&gt;65,"High Risk",IF(K126&gt;=40,"Medium Risk","Low Risk"))</f>
        <v>Medium Risk</v>
      </c>
      <c r="O126" s="20" t="b">
        <f aca="false">AND(OR($D126=T1_Region,T1_Region="All Regions"),OR($E126=T1_Income,T1_Income="All Income Groups"))</f>
        <v>1</v>
      </c>
    </row>
    <row r="127" customFormat="false" ht="15" hidden="false" customHeight="true" outlineLevel="0" collapsed="false">
      <c r="A127" s="1" t="s">
        <v>109</v>
      </c>
      <c r="B127" s="1" t="s">
        <v>110</v>
      </c>
      <c r="C127" s="1" t="n">
        <v>2018</v>
      </c>
      <c r="D127" s="1" t="s">
        <v>104</v>
      </c>
      <c r="E127" s="1" t="s">
        <v>105</v>
      </c>
      <c r="F127" s="1" t="n">
        <v>38.61</v>
      </c>
      <c r="G127" s="1" t="n">
        <v>43.3</v>
      </c>
      <c r="H127" s="1" t="n">
        <v>41.51</v>
      </c>
      <c r="I127" s="1" t="n">
        <v>45.3</v>
      </c>
      <c r="J127" s="1" t="n">
        <v>42.18</v>
      </c>
      <c r="K127" s="1" t="n">
        <v>57.82</v>
      </c>
      <c r="L127" s="1" t="s">
        <v>37</v>
      </c>
      <c r="M127" s="1" t="n">
        <v>739.7</v>
      </c>
      <c r="N127" s="1" t="str">
        <f aca="false">IF(K127&gt;65,"High Risk",IF(K127&gt;=40,"Medium Risk","Low Risk"))</f>
        <v>Medium Risk</v>
      </c>
      <c r="O127" s="20" t="b">
        <f aca="false">AND(OR($D127=T1_Region,T1_Region="All Regions"),OR($E127=T1_Income,T1_Income="All Income Groups"))</f>
        <v>1</v>
      </c>
    </row>
    <row r="128" customFormat="false" ht="15" hidden="false" customHeight="true" outlineLevel="0" collapsed="false">
      <c r="A128" s="1" t="s">
        <v>109</v>
      </c>
      <c r="B128" s="1" t="s">
        <v>110</v>
      </c>
      <c r="C128" s="1" t="n">
        <v>2019</v>
      </c>
      <c r="D128" s="1" t="s">
        <v>104</v>
      </c>
      <c r="E128" s="1" t="s">
        <v>105</v>
      </c>
      <c r="F128" s="1" t="n">
        <v>39.21</v>
      </c>
      <c r="G128" s="1" t="n">
        <v>43.6</v>
      </c>
      <c r="H128" s="1" t="n">
        <v>41.8</v>
      </c>
      <c r="I128" s="1" t="n">
        <v>45.76</v>
      </c>
      <c r="J128" s="1" t="n">
        <v>42.59</v>
      </c>
      <c r="K128" s="1" t="n">
        <v>57.41</v>
      </c>
      <c r="L128" s="1" t="s">
        <v>37</v>
      </c>
      <c r="M128" s="1" t="n">
        <v>793.47</v>
      </c>
      <c r="N128" s="1" t="str">
        <f aca="false">IF(K128&gt;65,"High Risk",IF(K128&gt;=40,"Medium Risk","Low Risk"))</f>
        <v>Medium Risk</v>
      </c>
      <c r="O128" s="20" t="b">
        <f aca="false">AND(OR($D128=T1_Region,T1_Region="All Regions"),OR($E128=T1_Income,T1_Income="All Income Groups"))</f>
        <v>1</v>
      </c>
    </row>
    <row r="129" customFormat="false" ht="15" hidden="false" customHeight="true" outlineLevel="0" collapsed="false">
      <c r="A129" s="1" t="s">
        <v>109</v>
      </c>
      <c r="B129" s="1" t="s">
        <v>110</v>
      </c>
      <c r="C129" s="1" t="n">
        <v>2020</v>
      </c>
      <c r="D129" s="1" t="s">
        <v>104</v>
      </c>
      <c r="E129" s="1" t="s">
        <v>105</v>
      </c>
      <c r="F129" s="1" t="n">
        <v>40.39</v>
      </c>
      <c r="G129" s="1" t="n">
        <v>42.96</v>
      </c>
      <c r="H129" s="1" t="n">
        <v>42</v>
      </c>
      <c r="I129" s="1" t="n">
        <v>38.68</v>
      </c>
      <c r="J129" s="1" t="n">
        <v>41.01</v>
      </c>
      <c r="K129" s="1" t="n">
        <v>58.99</v>
      </c>
      <c r="L129" s="1" t="s">
        <v>37</v>
      </c>
      <c r="M129" s="1" t="n">
        <v>829.79</v>
      </c>
      <c r="N129" s="1" t="str">
        <f aca="false">IF(K129&gt;65,"High Risk",IF(K129&gt;=40,"Medium Risk","Low Risk"))</f>
        <v>Medium Risk</v>
      </c>
      <c r="O129" s="20" t="b">
        <f aca="false">AND(OR($D129=T1_Region,T1_Region="All Regions"),OR($E129=T1_Income,T1_Income="All Income Groups"))</f>
        <v>1</v>
      </c>
    </row>
    <row r="130" customFormat="false" ht="15" hidden="false" customHeight="true" outlineLevel="0" collapsed="false">
      <c r="A130" s="1" t="s">
        <v>109</v>
      </c>
      <c r="B130" s="1" t="s">
        <v>110</v>
      </c>
      <c r="C130" s="1" t="n">
        <v>2021</v>
      </c>
      <c r="D130" s="1" t="s">
        <v>104</v>
      </c>
      <c r="E130" s="1" t="s">
        <v>105</v>
      </c>
      <c r="F130" s="1" t="n">
        <v>39.75</v>
      </c>
      <c r="G130" s="1" t="n">
        <v>40.64</v>
      </c>
      <c r="H130" s="1" t="n">
        <v>42.74</v>
      </c>
      <c r="I130" s="1" t="n">
        <v>31.49</v>
      </c>
      <c r="J130" s="1" t="n">
        <v>38.66</v>
      </c>
      <c r="K130" s="1" t="n">
        <v>61.34</v>
      </c>
      <c r="L130" s="1" t="s">
        <v>37</v>
      </c>
      <c r="M130" s="1" t="n">
        <v>893.01</v>
      </c>
      <c r="N130" s="1" t="str">
        <f aca="false">IF(K130&gt;65,"High Risk",IF(K130&gt;=40,"Medium Risk","Low Risk"))</f>
        <v>Medium Risk</v>
      </c>
      <c r="O130" s="20" t="b">
        <f aca="false">AND(OR($D130=T1_Region,T1_Region="All Regions"),OR($E130=T1_Income,T1_Income="All Income Groups"))</f>
        <v>1</v>
      </c>
    </row>
    <row r="131" customFormat="false" ht="15" hidden="false" customHeight="true" outlineLevel="0" collapsed="false">
      <c r="A131" s="1" t="s">
        <v>109</v>
      </c>
      <c r="B131" s="1" t="s">
        <v>110</v>
      </c>
      <c r="C131" s="1" t="n">
        <v>2022</v>
      </c>
      <c r="D131" s="1" t="s">
        <v>104</v>
      </c>
      <c r="E131" s="1" t="s">
        <v>105</v>
      </c>
      <c r="F131" s="1" t="n">
        <v>39.63</v>
      </c>
      <c r="G131" s="1" t="n">
        <v>41.16</v>
      </c>
      <c r="H131" s="1" t="n">
        <v>42.54</v>
      </c>
      <c r="I131" s="1" t="n">
        <v>34.02</v>
      </c>
      <c r="J131" s="1" t="n">
        <v>39.34</v>
      </c>
      <c r="K131" s="1" t="n">
        <v>60.66</v>
      </c>
      <c r="L131" s="1" t="s">
        <v>37</v>
      </c>
      <c r="M131" s="1" t="n">
        <v>982.1</v>
      </c>
      <c r="N131" s="1" t="str">
        <f aca="false">IF(K131&gt;65,"High Risk",IF(K131&gt;=40,"Medium Risk","Low Risk"))</f>
        <v>Medium Risk</v>
      </c>
      <c r="O131" s="20" t="b">
        <f aca="false">AND(OR($D131=T1_Region,T1_Region="All Regions"),OR($E131=T1_Income,T1_Income="All Income Groups"))</f>
        <v>1</v>
      </c>
    </row>
    <row r="132" customFormat="false" ht="15" hidden="false" customHeight="true" outlineLevel="0" collapsed="false">
      <c r="A132" s="1" t="s">
        <v>109</v>
      </c>
      <c r="B132" s="1" t="s">
        <v>110</v>
      </c>
      <c r="C132" s="1" t="n">
        <v>2023</v>
      </c>
      <c r="D132" s="1" t="s">
        <v>104</v>
      </c>
      <c r="E132" s="1" t="s">
        <v>105</v>
      </c>
      <c r="F132" s="1" t="n">
        <v>38.48</v>
      </c>
      <c r="G132" s="1" t="n">
        <v>39.08</v>
      </c>
      <c r="H132" s="1" t="n">
        <v>41.66</v>
      </c>
      <c r="I132" s="1" t="n">
        <v>34.06</v>
      </c>
      <c r="J132" s="1" t="n">
        <v>38.32</v>
      </c>
      <c r="K132" s="1" t="n">
        <v>61.68</v>
      </c>
      <c r="L132" s="1" t="s">
        <v>37</v>
      </c>
      <c r="M132" s="1" t="n">
        <v>1055.81</v>
      </c>
      <c r="N132" s="1" t="str">
        <f aca="false">IF(K132&gt;65,"High Risk",IF(K132&gt;=40,"Medium Risk","Low Risk"))</f>
        <v>Medium Risk</v>
      </c>
      <c r="O132" s="20" t="b">
        <f aca="false">AND(OR($D132=T1_Region,T1_Region="All Regions"),OR($E132=T1_Income,T1_Income="All Income Groups"))</f>
        <v>1</v>
      </c>
    </row>
    <row r="133" customFormat="false" ht="15" hidden="false" customHeight="true" outlineLevel="0" collapsed="false">
      <c r="A133" s="1" t="s">
        <v>109</v>
      </c>
      <c r="B133" s="1" t="s">
        <v>110</v>
      </c>
      <c r="C133" s="1" t="n">
        <v>2024</v>
      </c>
      <c r="D133" s="1" t="s">
        <v>104</v>
      </c>
      <c r="E133" s="1" t="s">
        <v>105</v>
      </c>
      <c r="F133" s="1" t="n">
        <v>38.99</v>
      </c>
      <c r="G133" s="1" t="n">
        <v>38.91</v>
      </c>
      <c r="H133" s="1" t="n">
        <v>41.72</v>
      </c>
      <c r="I133" s="1" t="n">
        <v>33.7</v>
      </c>
      <c r="J133" s="1" t="n">
        <v>38.33</v>
      </c>
      <c r="K133" s="1" t="n">
        <v>61.67</v>
      </c>
      <c r="L133" s="1" t="s">
        <v>37</v>
      </c>
      <c r="M133" s="1" t="n">
        <v>1133.88</v>
      </c>
      <c r="N133" s="1" t="str">
        <f aca="false">IF(K133&gt;65,"High Risk",IF(K133&gt;=40,"Medium Risk","Low Risk"))</f>
        <v>Medium Risk</v>
      </c>
      <c r="O133" s="20" t="b">
        <f aca="false">AND(OR($D133=T1_Region,T1_Region="All Regions"),OR($E133=T1_Income,T1_Income="All Income Groups"))</f>
        <v>1</v>
      </c>
    </row>
    <row r="134" customFormat="false" ht="15" hidden="false" customHeight="true" outlineLevel="0" collapsed="false">
      <c r="A134" s="1" t="s">
        <v>111</v>
      </c>
      <c r="B134" s="1" t="s">
        <v>112</v>
      </c>
      <c r="C134" s="1" t="n">
        <v>2013</v>
      </c>
      <c r="D134" s="1" t="s">
        <v>113</v>
      </c>
      <c r="E134" s="1" t="s">
        <v>86</v>
      </c>
      <c r="F134" s="1" t="n">
        <v>74.77</v>
      </c>
      <c r="G134" s="1" t="n">
        <v>78.3</v>
      </c>
      <c r="H134" s="1" t="n">
        <v>72.91</v>
      </c>
      <c r="I134" s="1" t="n">
        <v>74.29</v>
      </c>
      <c r="J134" s="1" t="n">
        <v>75.07</v>
      </c>
      <c r="K134" s="1" t="n">
        <v>24.93</v>
      </c>
      <c r="L134" s="1" t="s">
        <v>38</v>
      </c>
      <c r="M134" s="1" t="n">
        <v>42669.18</v>
      </c>
      <c r="N134" s="1" t="str">
        <f aca="false">IF(K134&gt;65,"High Risk",IF(K134&gt;=40,"Medium Risk","Low Risk"))</f>
        <v>Low Risk</v>
      </c>
      <c r="O134" s="20" t="b">
        <f aca="false">AND(OR($D134=T1_Region,T1_Region="All Regions"),OR($E134=T1_Income,T1_Income="All Income Groups"))</f>
        <v>1</v>
      </c>
    </row>
    <row r="135" customFormat="false" ht="15" hidden="false" customHeight="true" outlineLevel="0" collapsed="false">
      <c r="A135" s="1" t="s">
        <v>111</v>
      </c>
      <c r="B135" s="1" t="s">
        <v>112</v>
      </c>
      <c r="C135" s="1" t="n">
        <v>2014</v>
      </c>
      <c r="D135" s="1" t="s">
        <v>113</v>
      </c>
      <c r="E135" s="1" t="s">
        <v>86</v>
      </c>
      <c r="F135" s="1" t="n">
        <v>74.4</v>
      </c>
      <c r="G135" s="1" t="n">
        <v>78.7</v>
      </c>
      <c r="H135" s="1" t="n">
        <v>71.14</v>
      </c>
      <c r="I135" s="1" t="n">
        <v>72.52</v>
      </c>
      <c r="J135" s="1" t="n">
        <v>74.19</v>
      </c>
      <c r="K135" s="1" t="n">
        <v>25.81</v>
      </c>
      <c r="L135" s="1" t="s">
        <v>38</v>
      </c>
      <c r="M135" s="1" t="n">
        <v>43148.05</v>
      </c>
      <c r="N135" s="1" t="str">
        <f aca="false">IF(K135&gt;65,"High Risk",IF(K135&gt;=40,"Medium Risk","Low Risk"))</f>
        <v>Low Risk</v>
      </c>
      <c r="O135" s="20" t="b">
        <f aca="false">AND(OR($D135=T1_Region,T1_Region="All Regions"),OR($E135=T1_Income,T1_Income="All Income Groups"))</f>
        <v>1</v>
      </c>
    </row>
    <row r="136" customFormat="false" ht="15" hidden="false" customHeight="true" outlineLevel="0" collapsed="false">
      <c r="A136" s="1" t="s">
        <v>111</v>
      </c>
      <c r="B136" s="1" t="s">
        <v>112</v>
      </c>
      <c r="C136" s="1" t="n">
        <v>2015</v>
      </c>
      <c r="D136" s="1" t="s">
        <v>113</v>
      </c>
      <c r="E136" s="1" t="s">
        <v>86</v>
      </c>
      <c r="F136" s="1" t="n">
        <v>74.1</v>
      </c>
      <c r="G136" s="1" t="n">
        <v>78.35</v>
      </c>
      <c r="H136" s="1" t="n">
        <v>72.43</v>
      </c>
      <c r="I136" s="1" t="n">
        <v>68.86</v>
      </c>
      <c r="J136" s="1" t="n">
        <v>73.43</v>
      </c>
      <c r="K136" s="1" t="n">
        <v>26.57</v>
      </c>
      <c r="L136" s="1" t="s">
        <v>38</v>
      </c>
      <c r="M136" s="1" t="n">
        <v>36702.43</v>
      </c>
      <c r="N136" s="1" t="str">
        <f aca="false">IF(K136&gt;65,"High Risk",IF(K136&gt;=40,"Medium Risk","Low Risk"))</f>
        <v>Low Risk</v>
      </c>
      <c r="O136" s="20" t="b">
        <f aca="false">AND(OR($D136=T1_Region,T1_Region="All Regions"),OR($E136=T1_Income,T1_Income="All Income Groups"))</f>
        <v>1</v>
      </c>
    </row>
    <row r="137" customFormat="false" ht="15" hidden="false" customHeight="true" outlineLevel="0" collapsed="false">
      <c r="A137" s="1" t="s">
        <v>111</v>
      </c>
      <c r="B137" s="1" t="s">
        <v>112</v>
      </c>
      <c r="C137" s="1" t="n">
        <v>2016</v>
      </c>
      <c r="D137" s="1" t="s">
        <v>113</v>
      </c>
      <c r="E137" s="1" t="s">
        <v>86</v>
      </c>
      <c r="F137" s="1" t="n">
        <v>75.03</v>
      </c>
      <c r="G137" s="1" t="n">
        <v>78.59</v>
      </c>
      <c r="H137" s="1" t="n">
        <v>72.25</v>
      </c>
      <c r="I137" s="1" t="n">
        <v>65.18</v>
      </c>
      <c r="J137" s="1" t="n">
        <v>72.76</v>
      </c>
      <c r="K137" s="1" t="n">
        <v>27.24</v>
      </c>
      <c r="L137" s="1" t="s">
        <v>38</v>
      </c>
      <c r="M137" s="1" t="n">
        <v>37024.22</v>
      </c>
      <c r="N137" s="1" t="str">
        <f aca="false">IF(K137&gt;65,"High Risk",IF(K137&gt;=40,"Medium Risk","Low Risk"))</f>
        <v>Low Risk</v>
      </c>
      <c r="O137" s="20" t="b">
        <f aca="false">AND(OR($D137=T1_Region,T1_Region="All Regions"),OR($E137=T1_Income,T1_Income="All Income Groups"))</f>
        <v>1</v>
      </c>
    </row>
    <row r="138" customFormat="false" ht="15" hidden="false" customHeight="true" outlineLevel="0" collapsed="false">
      <c r="A138" s="1" t="s">
        <v>111</v>
      </c>
      <c r="B138" s="1" t="s">
        <v>112</v>
      </c>
      <c r="C138" s="1" t="n">
        <v>2017</v>
      </c>
      <c r="D138" s="1" t="s">
        <v>113</v>
      </c>
      <c r="E138" s="1" t="s">
        <v>86</v>
      </c>
      <c r="F138" s="1" t="n">
        <v>75.31</v>
      </c>
      <c r="G138" s="1" t="n">
        <v>78.39</v>
      </c>
      <c r="H138" s="1" t="n">
        <v>74.31</v>
      </c>
      <c r="I138" s="1" t="n">
        <v>69.82</v>
      </c>
      <c r="J138" s="1" t="n">
        <v>74.46</v>
      </c>
      <c r="K138" s="1" t="n">
        <v>25.54</v>
      </c>
      <c r="L138" s="1" t="s">
        <v>38</v>
      </c>
      <c r="M138" s="1" t="n">
        <v>38687.16</v>
      </c>
      <c r="N138" s="1" t="str">
        <f aca="false">IF(K138&gt;65,"High Risk",IF(K138&gt;=40,"Medium Risk","Low Risk"))</f>
        <v>Low Risk</v>
      </c>
      <c r="O138" s="20" t="b">
        <f aca="false">AND(OR($D138=T1_Region,T1_Region="All Regions"),OR($E138=T1_Income,T1_Income="All Income Groups"))</f>
        <v>1</v>
      </c>
    </row>
    <row r="139" customFormat="false" ht="15" hidden="false" customHeight="true" outlineLevel="0" collapsed="false">
      <c r="A139" s="1" t="s">
        <v>111</v>
      </c>
      <c r="B139" s="1" t="s">
        <v>112</v>
      </c>
      <c r="C139" s="1" t="n">
        <v>2018</v>
      </c>
      <c r="D139" s="1" t="s">
        <v>113</v>
      </c>
      <c r="E139" s="1" t="s">
        <v>86</v>
      </c>
      <c r="F139" s="1" t="n">
        <v>76.44</v>
      </c>
      <c r="G139" s="1" t="n">
        <v>78.06</v>
      </c>
      <c r="H139" s="1" t="n">
        <v>74.86</v>
      </c>
      <c r="I139" s="1" t="n">
        <v>67.68</v>
      </c>
      <c r="J139" s="1" t="n">
        <v>74.26</v>
      </c>
      <c r="K139" s="1" t="n">
        <v>25.74</v>
      </c>
      <c r="L139" s="1" t="s">
        <v>38</v>
      </c>
      <c r="M139" s="1" t="n">
        <v>41418.18</v>
      </c>
      <c r="N139" s="1" t="str">
        <f aca="false">IF(K139&gt;65,"High Risk",IF(K139&gt;=40,"Medium Risk","Low Risk"))</f>
        <v>Low Risk</v>
      </c>
      <c r="O139" s="20" t="b">
        <f aca="false">AND(OR($D139=T1_Region,T1_Region="All Regions"),OR($E139=T1_Income,T1_Income="All Income Groups"))</f>
        <v>1</v>
      </c>
    </row>
    <row r="140" customFormat="false" ht="15" hidden="false" customHeight="true" outlineLevel="0" collapsed="false">
      <c r="A140" s="1" t="s">
        <v>111</v>
      </c>
      <c r="B140" s="1" t="s">
        <v>112</v>
      </c>
      <c r="C140" s="1" t="n">
        <v>2019</v>
      </c>
      <c r="D140" s="1" t="s">
        <v>113</v>
      </c>
      <c r="E140" s="1" t="s">
        <v>86</v>
      </c>
      <c r="F140" s="1" t="n">
        <v>75.42</v>
      </c>
      <c r="G140" s="1" t="n">
        <v>77.36</v>
      </c>
      <c r="H140" s="1" t="n">
        <v>77.84</v>
      </c>
      <c r="I140" s="1" t="n">
        <v>69.38</v>
      </c>
      <c r="J140" s="1" t="n">
        <v>75</v>
      </c>
      <c r="K140" s="1" t="n">
        <v>25</v>
      </c>
      <c r="L140" s="1" t="s">
        <v>38</v>
      </c>
      <c r="M140" s="1" t="n">
        <v>40408.28</v>
      </c>
      <c r="N140" s="1" t="str">
        <f aca="false">IF(K140&gt;65,"High Risk",IF(K140&gt;=40,"Medium Risk","Low Risk"))</f>
        <v>Low Risk</v>
      </c>
      <c r="O140" s="20" t="b">
        <f aca="false">AND(OR($D140=T1_Region,T1_Region="All Regions"),OR($E140=T1_Income,T1_Income="All Income Groups"))</f>
        <v>1</v>
      </c>
    </row>
    <row r="141" customFormat="false" ht="15" hidden="false" customHeight="true" outlineLevel="0" collapsed="false">
      <c r="A141" s="1" t="s">
        <v>111</v>
      </c>
      <c r="B141" s="1" t="s">
        <v>112</v>
      </c>
      <c r="C141" s="1" t="n">
        <v>2020</v>
      </c>
      <c r="D141" s="1" t="s">
        <v>113</v>
      </c>
      <c r="E141" s="1" t="s">
        <v>86</v>
      </c>
      <c r="F141" s="1" t="n">
        <v>74.05</v>
      </c>
      <c r="G141" s="1" t="n">
        <v>76.36</v>
      </c>
      <c r="H141" s="1" t="n">
        <v>74.72</v>
      </c>
      <c r="I141" s="1" t="n">
        <v>68.07</v>
      </c>
      <c r="J141" s="1" t="n">
        <v>73.3</v>
      </c>
      <c r="K141" s="1" t="n">
        <v>26.7</v>
      </c>
      <c r="L141" s="1" t="s">
        <v>38</v>
      </c>
      <c r="M141" s="1" t="n">
        <v>39169.86</v>
      </c>
      <c r="N141" s="1" t="str">
        <f aca="false">IF(K141&gt;65,"High Risk",IF(K141&gt;=40,"Medium Risk","Low Risk"))</f>
        <v>Low Risk</v>
      </c>
      <c r="O141" s="20" t="b">
        <f aca="false">AND(OR($D141=T1_Region,T1_Region="All Regions"),OR($E141=T1_Income,T1_Income="All Income Groups"))</f>
        <v>1</v>
      </c>
    </row>
    <row r="142" customFormat="false" ht="15" hidden="false" customHeight="true" outlineLevel="0" collapsed="false">
      <c r="A142" s="1" t="s">
        <v>111</v>
      </c>
      <c r="B142" s="1" t="s">
        <v>112</v>
      </c>
      <c r="C142" s="1" t="n">
        <v>2021</v>
      </c>
      <c r="D142" s="1" t="s">
        <v>113</v>
      </c>
      <c r="E142" s="1" t="s">
        <v>86</v>
      </c>
      <c r="F142" s="1" t="n">
        <v>76.65</v>
      </c>
      <c r="G142" s="1" t="n">
        <v>75.56</v>
      </c>
      <c r="H142" s="1" t="n">
        <v>75.12</v>
      </c>
      <c r="I142" s="1" t="n">
        <v>68.02</v>
      </c>
      <c r="J142" s="1" t="n">
        <v>73.84</v>
      </c>
      <c r="K142" s="1" t="n">
        <v>26.16</v>
      </c>
      <c r="L142" s="1" t="s">
        <v>38</v>
      </c>
      <c r="M142" s="1" t="n">
        <v>43725.1</v>
      </c>
      <c r="N142" s="1" t="str">
        <f aca="false">IF(K142&gt;65,"High Risk",IF(K142&gt;=40,"Medium Risk","Low Risk"))</f>
        <v>Low Risk</v>
      </c>
      <c r="O142" s="20" t="b">
        <f aca="false">AND(OR($D142=T1_Region,T1_Region="All Regions"),OR($E142=T1_Income,T1_Income="All Income Groups"))</f>
        <v>1</v>
      </c>
    </row>
    <row r="143" customFormat="false" ht="15" hidden="false" customHeight="true" outlineLevel="0" collapsed="false">
      <c r="A143" s="1" t="s">
        <v>111</v>
      </c>
      <c r="B143" s="1" t="s">
        <v>112</v>
      </c>
      <c r="C143" s="1" t="n">
        <v>2022</v>
      </c>
      <c r="D143" s="1" t="s">
        <v>113</v>
      </c>
      <c r="E143" s="1" t="s">
        <v>86</v>
      </c>
      <c r="F143" s="1" t="n">
        <v>75.9</v>
      </c>
      <c r="G143" s="1" t="n">
        <v>74.51</v>
      </c>
      <c r="H143" s="1" t="n">
        <v>74.88</v>
      </c>
      <c r="I143" s="1" t="n">
        <v>66.23</v>
      </c>
      <c r="J143" s="1" t="n">
        <v>72.88</v>
      </c>
      <c r="K143" s="1" t="n">
        <v>27.12</v>
      </c>
      <c r="L143" s="1" t="s">
        <v>38</v>
      </c>
      <c r="M143" s="1" t="n">
        <v>40988.64</v>
      </c>
      <c r="N143" s="1" t="str">
        <f aca="false">IF(K143&gt;65,"High Risk",IF(K143&gt;=40,"Medium Risk","Low Risk"))</f>
        <v>Low Risk</v>
      </c>
      <c r="O143" s="20" t="b">
        <f aca="false">AND(OR($D143=T1_Region,T1_Region="All Regions"),OR($E143=T1_Income,T1_Income="All Income Groups"))</f>
        <v>1</v>
      </c>
    </row>
    <row r="144" customFormat="false" ht="15" hidden="false" customHeight="true" outlineLevel="0" collapsed="false">
      <c r="A144" s="1" t="s">
        <v>111</v>
      </c>
      <c r="B144" s="1" t="s">
        <v>112</v>
      </c>
      <c r="C144" s="1" t="n">
        <v>2023</v>
      </c>
      <c r="D144" s="1" t="s">
        <v>113</v>
      </c>
      <c r="E144" s="1" t="s">
        <v>86</v>
      </c>
      <c r="F144" s="1" t="n">
        <v>73.51</v>
      </c>
      <c r="G144" s="1" t="n">
        <v>74.08</v>
      </c>
      <c r="H144" s="1" t="n">
        <v>74.3</v>
      </c>
      <c r="I144" s="1" t="n">
        <v>65.57</v>
      </c>
      <c r="J144" s="1" t="n">
        <v>71.87</v>
      </c>
      <c r="K144" s="1" t="n">
        <v>28.13</v>
      </c>
      <c r="L144" s="1" t="s">
        <v>38</v>
      </c>
      <c r="M144" s="1" t="n">
        <v>44700.14</v>
      </c>
      <c r="N144" s="1" t="str">
        <f aca="false">IF(K144&gt;65,"High Risk",IF(K144&gt;=40,"Medium Risk","Low Risk"))</f>
        <v>Low Risk</v>
      </c>
      <c r="O144" s="20" t="b">
        <f aca="false">AND(OR($D144=T1_Region,T1_Region="All Regions"),OR($E144=T1_Income,T1_Income="All Income Groups"))</f>
        <v>1</v>
      </c>
    </row>
    <row r="145" customFormat="false" ht="15" hidden="false" customHeight="true" outlineLevel="0" collapsed="false">
      <c r="A145" s="1" t="s">
        <v>111</v>
      </c>
      <c r="B145" s="1" t="s">
        <v>112</v>
      </c>
      <c r="C145" s="1" t="n">
        <v>2024</v>
      </c>
      <c r="D145" s="1" t="s">
        <v>113</v>
      </c>
      <c r="E145" s="1" t="s">
        <v>86</v>
      </c>
      <c r="F145" s="1" t="n">
        <v>72.51</v>
      </c>
      <c r="G145" s="1" t="n">
        <v>73.81</v>
      </c>
      <c r="H145" s="1" t="n">
        <v>72.94</v>
      </c>
      <c r="I145" s="1" t="n">
        <v>61.77</v>
      </c>
      <c r="J145" s="1" t="n">
        <v>70.26</v>
      </c>
      <c r="K145" s="1" t="n">
        <v>29.74</v>
      </c>
      <c r="L145" s="1" t="s">
        <v>38</v>
      </c>
      <c r="M145" s="1" t="n">
        <v>46103.08</v>
      </c>
      <c r="N145" s="1" t="str">
        <f aca="false">IF(K145&gt;65,"High Risk",IF(K145&gt;=40,"Medium Risk","Low Risk"))</f>
        <v>Low Risk</v>
      </c>
      <c r="O145" s="20" t="b">
        <f aca="false">AND(OR($D145=T1_Region,T1_Region="All Regions"),OR($E145=T1_Income,T1_Income="All Income Groups"))</f>
        <v>1</v>
      </c>
    </row>
    <row r="146" customFormat="false" ht="15" hidden="false" customHeight="true" outlineLevel="0" collapsed="false">
      <c r="A146" s="1" t="s">
        <v>114</v>
      </c>
      <c r="B146" s="1" t="s">
        <v>115</v>
      </c>
      <c r="C146" s="1" t="n">
        <v>2013</v>
      </c>
      <c r="D146" s="1" t="s">
        <v>113</v>
      </c>
      <c r="E146" s="1" t="s">
        <v>82</v>
      </c>
      <c r="F146" s="1" t="n">
        <v>58.75</v>
      </c>
      <c r="G146" s="1" t="n">
        <v>59.06</v>
      </c>
      <c r="H146" s="1" t="n">
        <v>66.35</v>
      </c>
      <c r="I146" s="1" t="n">
        <v>62.03</v>
      </c>
      <c r="J146" s="1" t="n">
        <v>61.55</v>
      </c>
      <c r="K146" s="1" t="n">
        <v>38.45</v>
      </c>
      <c r="L146" s="1" t="s">
        <v>38</v>
      </c>
      <c r="M146" s="1" t="n">
        <v>4712</v>
      </c>
      <c r="N146" s="1" t="str">
        <f aca="false">IF(K146&gt;65,"High Risk",IF(K146&gt;=40,"Medium Risk","Low Risk"))</f>
        <v>Low Risk</v>
      </c>
      <c r="O146" s="20" t="b">
        <f aca="false">AND(OR($D146=T1_Region,T1_Region="All Regions"),OR($E146=T1_Income,T1_Income="All Income Groups"))</f>
        <v>1</v>
      </c>
    </row>
    <row r="147" customFormat="false" ht="15" hidden="false" customHeight="true" outlineLevel="0" collapsed="false">
      <c r="A147" s="1" t="s">
        <v>114</v>
      </c>
      <c r="B147" s="1" t="s">
        <v>115</v>
      </c>
      <c r="C147" s="1" t="n">
        <v>2014</v>
      </c>
      <c r="D147" s="1" t="s">
        <v>113</v>
      </c>
      <c r="E147" s="1" t="s">
        <v>82</v>
      </c>
      <c r="F147" s="1" t="n">
        <v>64.21</v>
      </c>
      <c r="G147" s="1" t="n">
        <v>63.04</v>
      </c>
      <c r="H147" s="1" t="n">
        <v>67.79</v>
      </c>
      <c r="I147" s="1" t="n">
        <v>65.47</v>
      </c>
      <c r="J147" s="1" t="n">
        <v>65.13</v>
      </c>
      <c r="K147" s="1" t="n">
        <v>34.87</v>
      </c>
      <c r="L147" s="1" t="s">
        <v>38</v>
      </c>
      <c r="M147" s="1" t="n">
        <v>4830.33</v>
      </c>
      <c r="N147" s="1" t="str">
        <f aca="false">IF(K147&gt;65,"High Risk",IF(K147&gt;=40,"Medium Risk","Low Risk"))</f>
        <v>Low Risk</v>
      </c>
      <c r="O147" s="20" t="b">
        <f aca="false">AND(OR($D147=T1_Region,T1_Region="All Regions"),OR($E147=T1_Income,T1_Income="All Income Groups"))</f>
        <v>1</v>
      </c>
    </row>
    <row r="148" customFormat="false" ht="15" hidden="false" customHeight="true" outlineLevel="0" collapsed="false">
      <c r="A148" s="1" t="s">
        <v>114</v>
      </c>
      <c r="B148" s="1" t="s">
        <v>115</v>
      </c>
      <c r="C148" s="1" t="n">
        <v>2015</v>
      </c>
      <c r="D148" s="1" t="s">
        <v>113</v>
      </c>
      <c r="E148" s="1" t="s">
        <v>82</v>
      </c>
      <c r="F148" s="1" t="n">
        <v>63.55</v>
      </c>
      <c r="G148" s="1" t="n">
        <v>62.83</v>
      </c>
      <c r="H148" s="1" t="n">
        <v>67.64</v>
      </c>
      <c r="I148" s="1" t="n">
        <v>64.35</v>
      </c>
      <c r="J148" s="1" t="n">
        <v>64.59</v>
      </c>
      <c r="K148" s="1" t="n">
        <v>35.41</v>
      </c>
      <c r="L148" s="1" t="s">
        <v>38</v>
      </c>
      <c r="M148" s="1" t="n">
        <v>4086.62</v>
      </c>
      <c r="N148" s="1" t="str">
        <f aca="false">IF(K148&gt;65,"High Risk",IF(K148&gt;=40,"Medium Risk","Low Risk"))</f>
        <v>Low Risk</v>
      </c>
      <c r="O148" s="20" t="b">
        <f aca="false">AND(OR($D148=T1_Region,T1_Region="All Regions"),OR($E148=T1_Income,T1_Income="All Income Groups"))</f>
        <v>1</v>
      </c>
    </row>
    <row r="149" customFormat="false" ht="15" hidden="false" customHeight="true" outlineLevel="0" collapsed="false">
      <c r="A149" s="1" t="s">
        <v>114</v>
      </c>
      <c r="B149" s="1" t="s">
        <v>115</v>
      </c>
      <c r="C149" s="1" t="n">
        <v>2016</v>
      </c>
      <c r="D149" s="1" t="s">
        <v>113</v>
      </c>
      <c r="E149" s="1" t="s">
        <v>82</v>
      </c>
      <c r="F149" s="1" t="n">
        <v>64.04</v>
      </c>
      <c r="G149" s="1" t="n">
        <v>63.35</v>
      </c>
      <c r="H149" s="1" t="n">
        <v>69.76</v>
      </c>
      <c r="I149" s="1" t="n">
        <v>64.84</v>
      </c>
      <c r="J149" s="1" t="n">
        <v>65.5</v>
      </c>
      <c r="K149" s="1" t="n">
        <v>34.5</v>
      </c>
      <c r="L149" s="1" t="s">
        <v>38</v>
      </c>
      <c r="M149" s="1" t="n">
        <v>4143.4</v>
      </c>
      <c r="N149" s="1" t="str">
        <f aca="false">IF(K149&gt;65,"High Risk",IF(K149&gt;=40,"Medium Risk","Low Risk"))</f>
        <v>Low Risk</v>
      </c>
      <c r="O149" s="20" t="b">
        <f aca="false">AND(OR($D149=T1_Region,T1_Region="All Regions"),OR($E149=T1_Income,T1_Income="All Income Groups"))</f>
        <v>1</v>
      </c>
    </row>
    <row r="150" customFormat="false" ht="15" hidden="false" customHeight="true" outlineLevel="0" collapsed="false">
      <c r="A150" s="1" t="s">
        <v>114</v>
      </c>
      <c r="B150" s="1" t="s">
        <v>115</v>
      </c>
      <c r="C150" s="1" t="n">
        <v>2017</v>
      </c>
      <c r="D150" s="1" t="s">
        <v>113</v>
      </c>
      <c r="E150" s="1" t="s">
        <v>82</v>
      </c>
      <c r="F150" s="1" t="n">
        <v>65.3</v>
      </c>
      <c r="G150" s="1" t="n">
        <v>60.81</v>
      </c>
      <c r="H150" s="1" t="n">
        <v>69.71</v>
      </c>
      <c r="I150" s="1" t="n">
        <v>63.97</v>
      </c>
      <c r="J150" s="1" t="n">
        <v>64.95</v>
      </c>
      <c r="K150" s="1" t="n">
        <v>35.05</v>
      </c>
      <c r="L150" s="1" t="s">
        <v>38</v>
      </c>
      <c r="M150" s="1" t="n">
        <v>4418.75</v>
      </c>
      <c r="N150" s="1" t="str">
        <f aca="false">IF(K150&gt;65,"High Risk",IF(K150&gt;=40,"Medium Risk","Low Risk"))</f>
        <v>Low Risk</v>
      </c>
      <c r="O150" s="20" t="b">
        <f aca="false">AND(OR($D150=T1_Region,T1_Region="All Regions"),OR($E150=T1_Income,T1_Income="All Income Groups"))</f>
        <v>1</v>
      </c>
    </row>
    <row r="151" customFormat="false" ht="15" hidden="false" customHeight="true" outlineLevel="0" collapsed="false">
      <c r="A151" s="1" t="s">
        <v>114</v>
      </c>
      <c r="B151" s="1" t="s">
        <v>115</v>
      </c>
      <c r="C151" s="1" t="n">
        <v>2018</v>
      </c>
      <c r="D151" s="1" t="s">
        <v>113</v>
      </c>
      <c r="E151" s="1" t="s">
        <v>82</v>
      </c>
      <c r="F151" s="1" t="n">
        <v>64.89</v>
      </c>
      <c r="G151" s="1" t="n">
        <v>61.55</v>
      </c>
      <c r="H151" s="1" t="n">
        <v>67.5</v>
      </c>
      <c r="I151" s="1" t="n">
        <v>64.27</v>
      </c>
      <c r="J151" s="1" t="n">
        <v>64.55</v>
      </c>
      <c r="K151" s="1" t="n">
        <v>35.45</v>
      </c>
      <c r="L151" s="1" t="s">
        <v>38</v>
      </c>
      <c r="M151" s="1" t="n">
        <v>4804.05</v>
      </c>
      <c r="N151" s="1" t="str">
        <f aca="false">IF(K151&gt;65,"High Risk",IF(K151&gt;=40,"Medium Risk","Low Risk"))</f>
        <v>Low Risk</v>
      </c>
      <c r="O151" s="20" t="b">
        <f aca="false">AND(OR($D151=T1_Region,T1_Region="All Regions"),OR($E151=T1_Income,T1_Income="All Income Groups"))</f>
        <v>1</v>
      </c>
    </row>
    <row r="152" customFormat="false" ht="15" hidden="false" customHeight="true" outlineLevel="0" collapsed="false">
      <c r="A152" s="1" t="s">
        <v>114</v>
      </c>
      <c r="B152" s="1" t="s">
        <v>115</v>
      </c>
      <c r="C152" s="1" t="n">
        <v>2019</v>
      </c>
      <c r="D152" s="1" t="s">
        <v>113</v>
      </c>
      <c r="E152" s="1" t="s">
        <v>82</v>
      </c>
      <c r="F152" s="1" t="n">
        <v>64.93</v>
      </c>
      <c r="G152" s="1" t="n">
        <v>60.66</v>
      </c>
      <c r="H152" s="1" t="n">
        <v>68.71</v>
      </c>
      <c r="I152" s="1" t="n">
        <v>63.59</v>
      </c>
      <c r="J152" s="1" t="n">
        <v>64.47</v>
      </c>
      <c r="K152" s="1" t="n">
        <v>35.53</v>
      </c>
      <c r="L152" s="1" t="s">
        <v>38</v>
      </c>
      <c r="M152" s="1" t="n">
        <v>4741.28</v>
      </c>
      <c r="N152" s="1" t="str">
        <f aca="false">IF(K152&gt;65,"High Risk",IF(K152&gt;=40,"Medium Risk","Low Risk"))</f>
        <v>Low Risk</v>
      </c>
      <c r="O152" s="20" t="b">
        <f aca="false">AND(OR($D152=T1_Region,T1_Region="All Regions"),OR($E152=T1_Income,T1_Income="All Income Groups"))</f>
        <v>1</v>
      </c>
    </row>
    <row r="153" customFormat="false" ht="15" hidden="false" customHeight="true" outlineLevel="0" collapsed="false">
      <c r="A153" s="1" t="s">
        <v>114</v>
      </c>
      <c r="B153" s="1" t="s">
        <v>115</v>
      </c>
      <c r="C153" s="1" t="n">
        <v>2020</v>
      </c>
      <c r="D153" s="1" t="s">
        <v>113</v>
      </c>
      <c r="E153" s="1" t="s">
        <v>82</v>
      </c>
      <c r="F153" s="1" t="n">
        <v>64.46</v>
      </c>
      <c r="G153" s="1" t="n">
        <v>61.38</v>
      </c>
      <c r="H153" s="1" t="n">
        <v>67.58</v>
      </c>
      <c r="I153" s="1" t="n">
        <v>63.72</v>
      </c>
      <c r="J153" s="1" t="n">
        <v>64.29</v>
      </c>
      <c r="K153" s="1" t="n">
        <v>35.71</v>
      </c>
      <c r="L153" s="1" t="s">
        <v>38</v>
      </c>
      <c r="M153" s="1" t="n">
        <v>4300.86</v>
      </c>
      <c r="N153" s="1" t="str">
        <f aca="false">IF(K153&gt;65,"High Risk",IF(K153&gt;=40,"Medium Risk","Low Risk"))</f>
        <v>Low Risk</v>
      </c>
      <c r="O153" s="20" t="b">
        <f aca="false">AND(OR($D153=T1_Region,T1_Region="All Regions"),OR($E153=T1_Income,T1_Income="All Income Groups"))</f>
        <v>1</v>
      </c>
    </row>
    <row r="154" customFormat="false" ht="15" hidden="false" customHeight="true" outlineLevel="0" collapsed="false">
      <c r="A154" s="1" t="s">
        <v>114</v>
      </c>
      <c r="B154" s="1" t="s">
        <v>115</v>
      </c>
      <c r="C154" s="1" t="n">
        <v>2021</v>
      </c>
      <c r="D154" s="1" t="s">
        <v>113</v>
      </c>
      <c r="E154" s="1" t="s">
        <v>82</v>
      </c>
      <c r="F154" s="1" t="n">
        <v>62.48</v>
      </c>
      <c r="G154" s="1" t="n">
        <v>60.84</v>
      </c>
      <c r="H154" s="1" t="n">
        <v>68.16</v>
      </c>
      <c r="I154" s="1" t="n">
        <v>62.45</v>
      </c>
      <c r="J154" s="1" t="n">
        <v>63.48</v>
      </c>
      <c r="K154" s="1" t="n">
        <v>36.52</v>
      </c>
      <c r="L154" s="1" t="s">
        <v>38</v>
      </c>
      <c r="M154" s="1" t="n">
        <v>5083.61</v>
      </c>
      <c r="N154" s="1" t="str">
        <f aca="false">IF(K154&gt;65,"High Risk",IF(K154&gt;=40,"Medium Risk","Low Risk"))</f>
        <v>Low Risk</v>
      </c>
      <c r="O154" s="20" t="b">
        <f aca="false">AND(OR($D154=T1_Region,T1_Region="All Regions"),OR($E154=T1_Income,T1_Income="All Income Groups"))</f>
        <v>1</v>
      </c>
    </row>
    <row r="155" customFormat="false" ht="15" hidden="false" customHeight="true" outlineLevel="0" collapsed="false">
      <c r="A155" s="1" t="s">
        <v>114</v>
      </c>
      <c r="B155" s="1" t="s">
        <v>115</v>
      </c>
      <c r="C155" s="1" t="n">
        <v>2022</v>
      </c>
      <c r="D155" s="1" t="s">
        <v>113</v>
      </c>
      <c r="E155" s="1" t="s">
        <v>82</v>
      </c>
      <c r="F155" s="1" t="n">
        <v>61.04</v>
      </c>
      <c r="G155" s="1" t="n">
        <v>60.09</v>
      </c>
      <c r="H155" s="1" t="n">
        <v>67.06</v>
      </c>
      <c r="I155" s="1" t="n">
        <v>64.19</v>
      </c>
      <c r="J155" s="1" t="n">
        <v>63.09</v>
      </c>
      <c r="K155" s="1" t="n">
        <v>36.91</v>
      </c>
      <c r="L155" s="1" t="s">
        <v>38</v>
      </c>
      <c r="M155" s="1" t="n">
        <v>6729.85</v>
      </c>
      <c r="N155" s="1" t="str">
        <f aca="false">IF(K155&gt;65,"High Risk",IF(K155&gt;=40,"Medium Risk","Low Risk"))</f>
        <v>Low Risk</v>
      </c>
      <c r="O155" s="20" t="b">
        <f aca="false">AND(OR($D155=T1_Region,T1_Region="All Regions"),OR($E155=T1_Income,T1_Income="All Income Groups"))</f>
        <v>1</v>
      </c>
    </row>
    <row r="156" customFormat="false" ht="15" hidden="false" customHeight="true" outlineLevel="0" collapsed="false">
      <c r="A156" s="1" t="s">
        <v>114</v>
      </c>
      <c r="B156" s="1" t="s">
        <v>115</v>
      </c>
      <c r="C156" s="1" t="n">
        <v>2023</v>
      </c>
      <c r="D156" s="1" t="s">
        <v>113</v>
      </c>
      <c r="E156" s="1" t="s">
        <v>82</v>
      </c>
      <c r="F156" s="1" t="n">
        <v>61.18</v>
      </c>
      <c r="G156" s="1" t="n">
        <v>59.79</v>
      </c>
      <c r="H156" s="1" t="n">
        <v>67.61</v>
      </c>
      <c r="I156" s="1" t="n">
        <v>63.83</v>
      </c>
      <c r="J156" s="1" t="n">
        <v>63.1</v>
      </c>
      <c r="K156" s="1" t="n">
        <v>36.9</v>
      </c>
      <c r="L156" s="1" t="s">
        <v>38</v>
      </c>
      <c r="M156" s="1" t="n">
        <v>8283.67</v>
      </c>
      <c r="N156" s="1" t="str">
        <f aca="false">IF(K156&gt;65,"High Risk",IF(K156&gt;=40,"Medium Risk","Low Risk"))</f>
        <v>Low Risk</v>
      </c>
      <c r="O156" s="20" t="b">
        <f aca="false">AND(OR($D156=T1_Region,T1_Region="All Regions"),OR($E156=T1_Income,T1_Income="All Income Groups"))</f>
        <v>1</v>
      </c>
    </row>
    <row r="157" customFormat="false" ht="15" hidden="false" customHeight="true" outlineLevel="0" collapsed="false">
      <c r="A157" s="1" t="s">
        <v>114</v>
      </c>
      <c r="B157" s="1" t="s">
        <v>115</v>
      </c>
      <c r="C157" s="1" t="n">
        <v>2024</v>
      </c>
      <c r="D157" s="1" t="s">
        <v>113</v>
      </c>
      <c r="E157" s="1" t="s">
        <v>82</v>
      </c>
      <c r="F157" s="1" t="n">
        <v>55.57</v>
      </c>
      <c r="G157" s="1" t="n">
        <v>59.53</v>
      </c>
      <c r="H157" s="1" t="n">
        <v>65.11</v>
      </c>
      <c r="I157" s="1" t="n">
        <v>55.43</v>
      </c>
      <c r="J157" s="1" t="n">
        <v>58.91</v>
      </c>
      <c r="K157" s="1" t="n">
        <v>41.09</v>
      </c>
      <c r="L157" s="1" t="s">
        <v>37</v>
      </c>
      <c r="M157" s="1" t="n">
        <v>8967.68</v>
      </c>
      <c r="N157" s="1" t="str">
        <f aca="false">IF(K157&gt;65,"High Risk",IF(K157&gt;=40,"Medium Risk","Low Risk"))</f>
        <v>Medium Risk</v>
      </c>
      <c r="O157" s="20" t="b">
        <f aca="false">AND(OR($D157=T1_Region,T1_Region="All Regions"),OR($E157=T1_Income,T1_Income="All Income Groups"))</f>
        <v>1</v>
      </c>
    </row>
    <row r="158" customFormat="false" ht="15" hidden="false" customHeight="true" outlineLevel="0" collapsed="false">
      <c r="A158" s="1" t="s">
        <v>116</v>
      </c>
      <c r="B158" s="1" t="s">
        <v>117</v>
      </c>
      <c r="C158" s="1" t="n">
        <v>2013</v>
      </c>
      <c r="D158" s="1" t="s">
        <v>113</v>
      </c>
      <c r="E158" s="1" t="s">
        <v>86</v>
      </c>
      <c r="F158" s="1" t="n">
        <v>80.77</v>
      </c>
      <c r="G158" s="1" t="n">
        <v>84.97</v>
      </c>
      <c r="H158" s="1" t="n">
        <v>78.17</v>
      </c>
      <c r="I158" s="1" t="n">
        <v>82.24</v>
      </c>
      <c r="J158" s="1" t="n">
        <v>81.54</v>
      </c>
      <c r="K158" s="1" t="n">
        <v>18.46</v>
      </c>
      <c r="L158" s="1" t="s">
        <v>38</v>
      </c>
      <c r="M158" s="1" t="n">
        <v>47206.84</v>
      </c>
      <c r="N158" s="1" t="str">
        <f aca="false">IF(K158&gt;65,"High Risk",IF(K158&gt;=40,"Medium Risk","Low Risk"))</f>
        <v>Low Risk</v>
      </c>
      <c r="O158" s="20" t="b">
        <f aca="false">AND(OR($D158=T1_Region,T1_Region="All Regions"),OR($E158=T1_Income,T1_Income="All Income Groups"))</f>
        <v>1</v>
      </c>
    </row>
    <row r="159" customFormat="false" ht="15" hidden="false" customHeight="true" outlineLevel="0" collapsed="false">
      <c r="A159" s="1" t="s">
        <v>116</v>
      </c>
      <c r="B159" s="1" t="s">
        <v>117</v>
      </c>
      <c r="C159" s="1" t="n">
        <v>2014</v>
      </c>
      <c r="D159" s="1" t="s">
        <v>113</v>
      </c>
      <c r="E159" s="1" t="s">
        <v>86</v>
      </c>
      <c r="F159" s="1" t="n">
        <v>82.43</v>
      </c>
      <c r="G159" s="1" t="n">
        <v>86.85</v>
      </c>
      <c r="H159" s="1" t="n">
        <v>79.42</v>
      </c>
      <c r="I159" s="1" t="n">
        <v>84.12</v>
      </c>
      <c r="J159" s="1" t="n">
        <v>83.21</v>
      </c>
      <c r="K159" s="1" t="n">
        <v>16.79</v>
      </c>
      <c r="L159" s="1" t="s">
        <v>38</v>
      </c>
      <c r="M159" s="1" t="n">
        <v>48959.6</v>
      </c>
      <c r="N159" s="1" t="str">
        <f aca="false">IF(K159&gt;65,"High Risk",IF(K159&gt;=40,"Medium Risk","Low Risk"))</f>
        <v>Low Risk</v>
      </c>
      <c r="O159" s="20" t="b">
        <f aca="false">AND(OR($D159=T1_Region,T1_Region="All Regions"),OR($E159=T1_Income,T1_Income="All Income Groups"))</f>
        <v>1</v>
      </c>
    </row>
    <row r="160" customFormat="false" ht="15" hidden="false" customHeight="true" outlineLevel="0" collapsed="false">
      <c r="A160" s="1" t="s">
        <v>116</v>
      </c>
      <c r="B160" s="1" t="s">
        <v>117</v>
      </c>
      <c r="C160" s="1" t="n">
        <v>2015</v>
      </c>
      <c r="D160" s="1" t="s">
        <v>113</v>
      </c>
      <c r="E160" s="1" t="s">
        <v>86</v>
      </c>
      <c r="F160" s="1" t="n">
        <v>82.74</v>
      </c>
      <c r="G160" s="1" t="n">
        <v>86.91</v>
      </c>
      <c r="H160" s="1" t="n">
        <v>80.75</v>
      </c>
      <c r="I160" s="1" t="n">
        <v>80.09</v>
      </c>
      <c r="J160" s="1" t="n">
        <v>82.62</v>
      </c>
      <c r="K160" s="1" t="n">
        <v>17.38</v>
      </c>
      <c r="L160" s="1" t="s">
        <v>38</v>
      </c>
      <c r="M160" s="1" t="n">
        <v>41929.75</v>
      </c>
      <c r="N160" s="1" t="str">
        <f aca="false">IF(K160&gt;65,"High Risk",IF(K160&gt;=40,"Medium Risk","Low Risk"))</f>
        <v>Low Risk</v>
      </c>
      <c r="O160" s="20" t="b">
        <f aca="false">AND(OR($D160=T1_Region,T1_Region="All Regions"),OR($E160=T1_Income,T1_Income="All Income Groups"))</f>
        <v>1</v>
      </c>
    </row>
    <row r="161" customFormat="false" ht="15" hidden="false" customHeight="true" outlineLevel="0" collapsed="false">
      <c r="A161" s="1" t="s">
        <v>116</v>
      </c>
      <c r="B161" s="1" t="s">
        <v>117</v>
      </c>
      <c r="C161" s="1" t="n">
        <v>2016</v>
      </c>
      <c r="D161" s="1" t="s">
        <v>113</v>
      </c>
      <c r="E161" s="1" t="s">
        <v>86</v>
      </c>
      <c r="F161" s="1" t="n">
        <v>83.54</v>
      </c>
      <c r="G161" s="1" t="n">
        <v>85.96</v>
      </c>
      <c r="H161" s="1" t="n">
        <v>81.51</v>
      </c>
      <c r="I161" s="1" t="n">
        <v>79.47</v>
      </c>
      <c r="J161" s="1" t="n">
        <v>82.62</v>
      </c>
      <c r="K161" s="1" t="n">
        <v>17.38</v>
      </c>
      <c r="L161" s="1" t="s">
        <v>38</v>
      </c>
      <c r="M161" s="1" t="n">
        <v>42948.94</v>
      </c>
      <c r="N161" s="1" t="str">
        <f aca="false">IF(K161&gt;65,"High Risk",IF(K161&gt;=40,"Medium Risk","Low Risk"))</f>
        <v>Low Risk</v>
      </c>
      <c r="O161" s="20" t="b">
        <f aca="false">AND(OR($D161=T1_Region,T1_Region="All Regions"),OR($E161=T1_Income,T1_Income="All Income Groups"))</f>
        <v>1</v>
      </c>
    </row>
    <row r="162" customFormat="false" ht="15" hidden="false" customHeight="true" outlineLevel="0" collapsed="false">
      <c r="A162" s="1" t="s">
        <v>116</v>
      </c>
      <c r="B162" s="1" t="s">
        <v>117</v>
      </c>
      <c r="C162" s="1" t="n">
        <v>2017</v>
      </c>
      <c r="D162" s="1" t="s">
        <v>113</v>
      </c>
      <c r="E162" s="1" t="s">
        <v>86</v>
      </c>
      <c r="F162" s="1" t="n">
        <v>84.74</v>
      </c>
      <c r="G162" s="1" t="n">
        <v>86.27</v>
      </c>
      <c r="H162" s="1" t="n">
        <v>81.59</v>
      </c>
      <c r="I162" s="1" t="n">
        <v>77.89</v>
      </c>
      <c r="J162" s="1" t="n">
        <v>82.62</v>
      </c>
      <c r="K162" s="1" t="n">
        <v>17.38</v>
      </c>
      <c r="L162" s="1" t="s">
        <v>38</v>
      </c>
      <c r="M162" s="1" t="n">
        <v>45553.93</v>
      </c>
      <c r="N162" s="1" t="str">
        <f aca="false">IF(K162&gt;65,"High Risk",IF(K162&gt;=40,"Medium Risk","Low Risk"))</f>
        <v>Low Risk</v>
      </c>
      <c r="O162" s="20" t="b">
        <f aca="false">AND(OR($D162=T1_Region,T1_Region="All Regions"),OR($E162=T1_Income,T1_Income="All Income Groups"))</f>
        <v>1</v>
      </c>
    </row>
    <row r="163" customFormat="false" ht="15" hidden="false" customHeight="true" outlineLevel="0" collapsed="false">
      <c r="A163" s="1" t="s">
        <v>116</v>
      </c>
      <c r="B163" s="1" t="s">
        <v>117</v>
      </c>
      <c r="C163" s="1" t="n">
        <v>2018</v>
      </c>
      <c r="D163" s="1" t="s">
        <v>113</v>
      </c>
      <c r="E163" s="1" t="s">
        <v>86</v>
      </c>
      <c r="F163" s="1" t="n">
        <v>86.67</v>
      </c>
      <c r="G163" s="1" t="n">
        <v>86.49</v>
      </c>
      <c r="H163" s="1" t="n">
        <v>81.35</v>
      </c>
      <c r="I163" s="1" t="n">
        <v>79.97</v>
      </c>
      <c r="J163" s="1" t="n">
        <v>83.62</v>
      </c>
      <c r="K163" s="1" t="n">
        <v>16.38</v>
      </c>
      <c r="L163" s="1" t="s">
        <v>38</v>
      </c>
      <c r="M163" s="1" t="n">
        <v>48916.17</v>
      </c>
      <c r="N163" s="1" t="str">
        <f aca="false">IF(K163&gt;65,"High Risk",IF(K163&gt;=40,"Medium Risk","Low Risk"))</f>
        <v>Low Risk</v>
      </c>
      <c r="O163" s="20" t="b">
        <f aca="false">AND(OR($D163=T1_Region,T1_Region="All Regions"),OR($E163=T1_Income,T1_Income="All Income Groups"))</f>
        <v>1</v>
      </c>
    </row>
    <row r="164" customFormat="false" ht="15" hidden="false" customHeight="true" outlineLevel="0" collapsed="false">
      <c r="A164" s="1" t="s">
        <v>116</v>
      </c>
      <c r="B164" s="1" t="s">
        <v>117</v>
      </c>
      <c r="C164" s="1" t="n">
        <v>2019</v>
      </c>
      <c r="D164" s="1" t="s">
        <v>113</v>
      </c>
      <c r="E164" s="1" t="s">
        <v>86</v>
      </c>
      <c r="F164" s="1" t="n">
        <v>85.85</v>
      </c>
      <c r="G164" s="1" t="n">
        <v>86.35</v>
      </c>
      <c r="H164" s="1" t="n">
        <v>81.12</v>
      </c>
      <c r="I164" s="1" t="n">
        <v>78.32</v>
      </c>
      <c r="J164" s="1" t="n">
        <v>82.91</v>
      </c>
      <c r="K164" s="1" t="n">
        <v>17.09</v>
      </c>
      <c r="L164" s="1" t="s">
        <v>38</v>
      </c>
      <c r="M164" s="1" t="n">
        <v>47656.2</v>
      </c>
      <c r="N164" s="1" t="str">
        <f aca="false">IF(K164&gt;65,"High Risk",IF(K164&gt;=40,"Medium Risk","Low Risk"))</f>
        <v>Low Risk</v>
      </c>
      <c r="O164" s="20" t="b">
        <f aca="false">AND(OR($D164=T1_Region,T1_Region="All Regions"),OR($E164=T1_Income,T1_Income="All Income Groups"))</f>
        <v>1</v>
      </c>
    </row>
    <row r="165" customFormat="false" ht="15" hidden="false" customHeight="true" outlineLevel="0" collapsed="false">
      <c r="A165" s="1" t="s">
        <v>116</v>
      </c>
      <c r="B165" s="1" t="s">
        <v>117</v>
      </c>
      <c r="C165" s="1" t="n">
        <v>2020</v>
      </c>
      <c r="D165" s="1" t="s">
        <v>113</v>
      </c>
      <c r="E165" s="1" t="s">
        <v>86</v>
      </c>
      <c r="F165" s="1" t="n">
        <v>85.73</v>
      </c>
      <c r="G165" s="1" t="n">
        <v>84.97</v>
      </c>
      <c r="H165" s="1" t="n">
        <v>79.5</v>
      </c>
      <c r="I165" s="1" t="n">
        <v>77.58</v>
      </c>
      <c r="J165" s="1" t="n">
        <v>81.95</v>
      </c>
      <c r="K165" s="1" t="n">
        <v>18.05</v>
      </c>
      <c r="L165" s="1" t="s">
        <v>38</v>
      </c>
      <c r="M165" s="1" t="n">
        <v>47394.87</v>
      </c>
      <c r="N165" s="1" t="str">
        <f aca="false">IF(K165&gt;65,"High Risk",IF(K165&gt;=40,"Medium Risk","Low Risk"))</f>
        <v>Low Risk</v>
      </c>
      <c r="O165" s="20" t="b">
        <f aca="false">AND(OR($D165=T1_Region,T1_Region="All Regions"),OR($E165=T1_Income,T1_Income="All Income Groups"))</f>
        <v>1</v>
      </c>
    </row>
    <row r="166" customFormat="false" ht="15" hidden="false" customHeight="true" outlineLevel="0" collapsed="false">
      <c r="A166" s="1" t="s">
        <v>116</v>
      </c>
      <c r="B166" s="1" t="s">
        <v>117</v>
      </c>
      <c r="C166" s="1" t="n">
        <v>2021</v>
      </c>
      <c r="D166" s="1" t="s">
        <v>113</v>
      </c>
      <c r="E166" s="1" t="s">
        <v>86</v>
      </c>
      <c r="F166" s="1" t="n">
        <v>84.78</v>
      </c>
      <c r="G166" s="1" t="n">
        <v>85.1</v>
      </c>
      <c r="H166" s="1" t="n">
        <v>80.3</v>
      </c>
      <c r="I166" s="1" t="n">
        <v>77.17</v>
      </c>
      <c r="J166" s="1" t="n">
        <v>81.84</v>
      </c>
      <c r="K166" s="1" t="n">
        <v>18.16</v>
      </c>
      <c r="L166" s="1" t="s">
        <v>38</v>
      </c>
      <c r="M166" s="1" t="n">
        <v>52349.25</v>
      </c>
      <c r="N166" s="1" t="str">
        <f aca="false">IF(K166&gt;65,"High Risk",IF(K166&gt;=40,"Medium Risk","Low Risk"))</f>
        <v>Low Risk</v>
      </c>
      <c r="O166" s="20" t="b">
        <f aca="false">AND(OR($D166=T1_Region,T1_Region="All Regions"),OR($E166=T1_Income,T1_Income="All Income Groups"))</f>
        <v>1</v>
      </c>
    </row>
    <row r="167" customFormat="false" ht="15" hidden="false" customHeight="true" outlineLevel="0" collapsed="false">
      <c r="A167" s="1" t="s">
        <v>116</v>
      </c>
      <c r="B167" s="1" t="s">
        <v>117</v>
      </c>
      <c r="C167" s="1" t="n">
        <v>2022</v>
      </c>
      <c r="D167" s="1" t="s">
        <v>113</v>
      </c>
      <c r="E167" s="1" t="s">
        <v>86</v>
      </c>
      <c r="F167" s="1" t="n">
        <v>84.74</v>
      </c>
      <c r="G167" s="1" t="n">
        <v>84.18</v>
      </c>
      <c r="H167" s="1" t="n">
        <v>79.52</v>
      </c>
      <c r="I167" s="1" t="n">
        <v>74.92</v>
      </c>
      <c r="J167" s="1" t="n">
        <v>80.84</v>
      </c>
      <c r="K167" s="1" t="n">
        <v>19.16</v>
      </c>
      <c r="L167" s="1" t="s">
        <v>38</v>
      </c>
      <c r="M167" s="1" t="n">
        <v>50506.52</v>
      </c>
      <c r="N167" s="1" t="str">
        <f aca="false">IF(K167&gt;65,"High Risk",IF(K167&gt;=40,"Medium Risk","Low Risk"))</f>
        <v>Low Risk</v>
      </c>
      <c r="O167" s="20" t="b">
        <f aca="false">AND(OR($D167=T1_Region,T1_Region="All Regions"),OR($E167=T1_Income,T1_Income="All Income Groups"))</f>
        <v>1</v>
      </c>
    </row>
    <row r="168" customFormat="false" ht="15" hidden="false" customHeight="true" outlineLevel="0" collapsed="false">
      <c r="A168" s="1" t="s">
        <v>116</v>
      </c>
      <c r="B168" s="1" t="s">
        <v>117</v>
      </c>
      <c r="C168" s="1" t="n">
        <v>2023</v>
      </c>
      <c r="D168" s="1" t="s">
        <v>113</v>
      </c>
      <c r="E168" s="1" t="s">
        <v>86</v>
      </c>
      <c r="F168" s="1" t="n">
        <v>82.25</v>
      </c>
      <c r="G168" s="1" t="n">
        <v>84.25</v>
      </c>
      <c r="H168" s="1" t="n">
        <v>78.11</v>
      </c>
      <c r="I168" s="1" t="n">
        <v>74.54</v>
      </c>
      <c r="J168" s="1" t="n">
        <v>79.79</v>
      </c>
      <c r="K168" s="1" t="n">
        <v>20.21</v>
      </c>
      <c r="L168" s="1" t="s">
        <v>38</v>
      </c>
      <c r="M168" s="1" t="n">
        <v>54776.77</v>
      </c>
      <c r="N168" s="1" t="str">
        <f aca="false">IF(K168&gt;65,"High Risk",IF(K168&gt;=40,"Medium Risk","Low Risk"))</f>
        <v>Low Risk</v>
      </c>
      <c r="O168" s="20" t="b">
        <f aca="false">AND(OR($D168=T1_Region,T1_Region="All Regions"),OR($E168=T1_Income,T1_Income="All Income Groups"))</f>
        <v>1</v>
      </c>
    </row>
    <row r="169" customFormat="false" ht="15" hidden="false" customHeight="true" outlineLevel="0" collapsed="false">
      <c r="A169" s="1" t="s">
        <v>116</v>
      </c>
      <c r="B169" s="1" t="s">
        <v>117</v>
      </c>
      <c r="C169" s="1" t="n">
        <v>2024</v>
      </c>
      <c r="D169" s="1" t="s">
        <v>113</v>
      </c>
      <c r="E169" s="1" t="s">
        <v>86</v>
      </c>
      <c r="F169" s="1" t="n">
        <v>83.75</v>
      </c>
      <c r="G169" s="1" t="n">
        <v>84.95</v>
      </c>
      <c r="H169" s="1" t="n">
        <v>78.49</v>
      </c>
      <c r="I169" s="1" t="n">
        <v>68.02</v>
      </c>
      <c r="J169" s="1" t="n">
        <v>78.8</v>
      </c>
      <c r="K169" s="1" t="n">
        <v>21.2</v>
      </c>
      <c r="L169" s="1" t="s">
        <v>38</v>
      </c>
      <c r="M169" s="1" t="n">
        <v>56103.73</v>
      </c>
      <c r="N169" s="1" t="str">
        <f aca="false">IF(K169&gt;65,"High Risk",IF(K169&gt;=40,"Medium Risk","Low Risk"))</f>
        <v>Low Risk</v>
      </c>
      <c r="O169" s="20" t="b">
        <f aca="false">AND(OR($D169=T1_Region,T1_Region="All Regions"),OR($E169=T1_Income,T1_Income="All Income Groups"))</f>
        <v>1</v>
      </c>
    </row>
    <row r="170" customFormat="false" ht="15" hidden="false" customHeight="true" outlineLevel="0" collapsed="false">
      <c r="A170" s="1" t="s">
        <v>118</v>
      </c>
      <c r="B170" s="1" t="s">
        <v>119</v>
      </c>
      <c r="C170" s="1" t="n">
        <v>2013</v>
      </c>
      <c r="D170" s="1" t="s">
        <v>113</v>
      </c>
      <c r="E170" s="1" t="s">
        <v>86</v>
      </c>
      <c r="F170" s="1" t="n">
        <v>50.08</v>
      </c>
      <c r="G170" s="1" t="n">
        <v>63.76</v>
      </c>
      <c r="H170" s="1" t="n">
        <v>59.2</v>
      </c>
      <c r="I170" s="1" t="n">
        <v>63.29</v>
      </c>
      <c r="J170" s="1" t="n">
        <v>59.08</v>
      </c>
      <c r="K170" s="1" t="n">
        <v>40.92</v>
      </c>
      <c r="L170" s="1" t="s">
        <v>37</v>
      </c>
      <c r="M170" s="1" t="n">
        <v>21573.34</v>
      </c>
      <c r="N170" s="1" t="str">
        <f aca="false">IF(K170&gt;65,"High Risk",IF(K170&gt;=40,"Medium Risk","Low Risk"))</f>
        <v>Medium Risk</v>
      </c>
      <c r="O170" s="20" t="b">
        <f aca="false">AND(OR($D170=T1_Region,T1_Region="All Regions"),OR($E170=T1_Income,T1_Income="All Income Groups"))</f>
        <v>1</v>
      </c>
    </row>
    <row r="171" customFormat="false" ht="15" hidden="false" customHeight="true" outlineLevel="0" collapsed="false">
      <c r="A171" s="1" t="s">
        <v>118</v>
      </c>
      <c r="B171" s="1" t="s">
        <v>119</v>
      </c>
      <c r="C171" s="1" t="n">
        <v>2014</v>
      </c>
      <c r="D171" s="1" t="s">
        <v>113</v>
      </c>
      <c r="E171" s="1" t="s">
        <v>86</v>
      </c>
      <c r="F171" s="1" t="n">
        <v>47.89</v>
      </c>
      <c r="G171" s="1" t="n">
        <v>63.18</v>
      </c>
      <c r="H171" s="1" t="n">
        <v>57.29</v>
      </c>
      <c r="I171" s="1" t="n">
        <v>64.7</v>
      </c>
      <c r="J171" s="1" t="n">
        <v>58.26</v>
      </c>
      <c r="K171" s="1" t="n">
        <v>41.74</v>
      </c>
      <c r="L171" s="1" t="s">
        <v>37</v>
      </c>
      <c r="M171" s="1" t="n">
        <v>21474.73</v>
      </c>
      <c r="N171" s="1" t="str">
        <f aca="false">IF(K171&gt;65,"High Risk",IF(K171&gt;=40,"Medium Risk","Low Risk"))</f>
        <v>Medium Risk</v>
      </c>
      <c r="O171" s="20" t="b">
        <f aca="false">AND(OR($D171=T1_Region,T1_Region="All Regions"),OR($E171=T1_Income,T1_Income="All Income Groups"))</f>
        <v>1</v>
      </c>
    </row>
    <row r="172" customFormat="false" ht="15" hidden="false" customHeight="true" outlineLevel="0" collapsed="false">
      <c r="A172" s="1" t="s">
        <v>118</v>
      </c>
      <c r="B172" s="1" t="s">
        <v>119</v>
      </c>
      <c r="C172" s="1" t="n">
        <v>2015</v>
      </c>
      <c r="D172" s="1" t="s">
        <v>113</v>
      </c>
      <c r="E172" s="1" t="s">
        <v>86</v>
      </c>
      <c r="F172" s="1" t="n">
        <v>48.3</v>
      </c>
      <c r="G172" s="1" t="n">
        <v>62.81</v>
      </c>
      <c r="H172" s="1" t="n">
        <v>58.59</v>
      </c>
      <c r="I172" s="1" t="n">
        <v>63.84</v>
      </c>
      <c r="J172" s="1" t="n">
        <v>58.39</v>
      </c>
      <c r="K172" s="1" t="n">
        <v>41.61</v>
      </c>
      <c r="L172" s="1" t="s">
        <v>37</v>
      </c>
      <c r="M172" s="1" t="n">
        <v>17980.73</v>
      </c>
      <c r="N172" s="1" t="str">
        <f aca="false">IF(K172&gt;65,"High Risk",IF(K172&gt;=40,"Medium Risk","Low Risk"))</f>
        <v>Medium Risk</v>
      </c>
      <c r="O172" s="20" t="b">
        <f aca="false">AND(OR($D172=T1_Region,T1_Region="All Regions"),OR($E172=T1_Income,T1_Income="All Income Groups"))</f>
        <v>1</v>
      </c>
    </row>
    <row r="173" customFormat="false" ht="15" hidden="false" customHeight="true" outlineLevel="0" collapsed="false">
      <c r="A173" s="1" t="s">
        <v>118</v>
      </c>
      <c r="B173" s="1" t="s">
        <v>119</v>
      </c>
      <c r="C173" s="1" t="n">
        <v>2016</v>
      </c>
      <c r="D173" s="1" t="s">
        <v>113</v>
      </c>
      <c r="E173" s="1" t="s">
        <v>86</v>
      </c>
      <c r="F173" s="1" t="n">
        <v>49.65</v>
      </c>
      <c r="G173" s="1" t="n">
        <v>61.52</v>
      </c>
      <c r="H173" s="1" t="n">
        <v>57.24</v>
      </c>
      <c r="I173" s="1" t="n">
        <v>63.27</v>
      </c>
      <c r="J173" s="1" t="n">
        <v>57.92</v>
      </c>
      <c r="K173" s="1" t="n">
        <v>42.08</v>
      </c>
      <c r="L173" s="1" t="s">
        <v>37</v>
      </c>
      <c r="M173" s="1" t="n">
        <v>17919.24</v>
      </c>
      <c r="N173" s="1" t="str">
        <f aca="false">IF(K173&gt;65,"High Risk",IF(K173&gt;=40,"Medium Risk","Low Risk"))</f>
        <v>Medium Risk</v>
      </c>
      <c r="O173" s="20" t="b">
        <f aca="false">AND(OR($D173=T1_Region,T1_Region="All Regions"),OR($E173=T1_Income,T1_Income="All Income Groups"))</f>
        <v>1</v>
      </c>
    </row>
    <row r="174" customFormat="false" ht="15" hidden="false" customHeight="true" outlineLevel="0" collapsed="false">
      <c r="A174" s="1" t="s">
        <v>118</v>
      </c>
      <c r="B174" s="1" t="s">
        <v>119</v>
      </c>
      <c r="C174" s="1" t="n">
        <v>2017</v>
      </c>
      <c r="D174" s="1" t="s">
        <v>113</v>
      </c>
      <c r="E174" s="1" t="s">
        <v>86</v>
      </c>
      <c r="F174" s="1" t="n">
        <v>50.82</v>
      </c>
      <c r="G174" s="1" t="n">
        <v>61.75</v>
      </c>
      <c r="H174" s="1" t="n">
        <v>57.34</v>
      </c>
      <c r="I174" s="1" t="n">
        <v>66.01</v>
      </c>
      <c r="J174" s="1" t="n">
        <v>58.98</v>
      </c>
      <c r="K174" s="1" t="n">
        <v>41.02</v>
      </c>
      <c r="L174" s="1" t="s">
        <v>37</v>
      </c>
      <c r="M174" s="1" t="n">
        <v>18631.99</v>
      </c>
      <c r="N174" s="1" t="str">
        <f aca="false">IF(K174&gt;65,"High Risk",IF(K174&gt;=40,"Medium Risk","Low Risk"))</f>
        <v>Medium Risk</v>
      </c>
      <c r="O174" s="20" t="b">
        <f aca="false">AND(OR($D174=T1_Region,T1_Region="All Regions"),OR($E174=T1_Income,T1_Income="All Income Groups"))</f>
        <v>1</v>
      </c>
    </row>
    <row r="175" customFormat="false" ht="15" hidden="false" customHeight="true" outlineLevel="0" collapsed="false">
      <c r="A175" s="1" t="s">
        <v>118</v>
      </c>
      <c r="B175" s="1" t="s">
        <v>119</v>
      </c>
      <c r="C175" s="1" t="n">
        <v>2018</v>
      </c>
      <c r="D175" s="1" t="s">
        <v>113</v>
      </c>
      <c r="E175" s="1" t="s">
        <v>86</v>
      </c>
      <c r="F175" s="1" t="n">
        <v>52.73</v>
      </c>
      <c r="G175" s="1" t="n">
        <v>61.78</v>
      </c>
      <c r="H175" s="1" t="n">
        <v>59.39</v>
      </c>
      <c r="I175" s="1" t="n">
        <v>71.9</v>
      </c>
      <c r="J175" s="1" t="n">
        <v>61.45</v>
      </c>
      <c r="K175" s="1" t="n">
        <v>38.55</v>
      </c>
      <c r="L175" s="1" t="s">
        <v>38</v>
      </c>
      <c r="M175" s="1" t="n">
        <v>19873.4</v>
      </c>
      <c r="N175" s="1" t="str">
        <f aca="false">IF(K175&gt;65,"High Risk",IF(K175&gt;=40,"Medium Risk","Low Risk"))</f>
        <v>Low Risk</v>
      </c>
      <c r="O175" s="20" t="b">
        <f aca="false">AND(OR($D175=T1_Region,T1_Region="All Regions"),OR($E175=T1_Income,T1_Income="All Income Groups"))</f>
        <v>1</v>
      </c>
    </row>
    <row r="176" customFormat="false" ht="15" hidden="false" customHeight="true" outlineLevel="0" collapsed="false">
      <c r="A176" s="1" t="s">
        <v>118</v>
      </c>
      <c r="B176" s="1" t="s">
        <v>119</v>
      </c>
      <c r="C176" s="1" t="n">
        <v>2019</v>
      </c>
      <c r="D176" s="1" t="s">
        <v>113</v>
      </c>
      <c r="E176" s="1" t="s">
        <v>86</v>
      </c>
      <c r="F176" s="1" t="n">
        <v>54.01</v>
      </c>
      <c r="G176" s="1" t="n">
        <v>63.57</v>
      </c>
      <c r="H176" s="1" t="n">
        <v>61.47</v>
      </c>
      <c r="I176" s="1" t="n">
        <v>70.66</v>
      </c>
      <c r="J176" s="1" t="n">
        <v>62.43</v>
      </c>
      <c r="K176" s="1" t="n">
        <v>37.57</v>
      </c>
      <c r="L176" s="1" t="s">
        <v>38</v>
      </c>
      <c r="M176" s="1" t="n">
        <v>19335.36</v>
      </c>
      <c r="N176" s="1" t="str">
        <f aca="false">IF(K176&gt;65,"High Risk",IF(K176&gt;=40,"Medium Risk","Low Risk"))</f>
        <v>Low Risk</v>
      </c>
      <c r="O176" s="20" t="b">
        <f aca="false">AND(OR($D176=T1_Region,T1_Region="All Regions"),OR($E176=T1_Income,T1_Income="All Income Groups"))</f>
        <v>1</v>
      </c>
    </row>
    <row r="177" customFormat="false" ht="15" hidden="false" customHeight="true" outlineLevel="0" collapsed="false">
      <c r="A177" s="1" t="s">
        <v>118</v>
      </c>
      <c r="B177" s="1" t="s">
        <v>119</v>
      </c>
      <c r="C177" s="1" t="n">
        <v>2020</v>
      </c>
      <c r="D177" s="1" t="s">
        <v>113</v>
      </c>
      <c r="E177" s="1" t="s">
        <v>86</v>
      </c>
      <c r="F177" s="1" t="n">
        <v>53.54</v>
      </c>
      <c r="G177" s="1" t="n">
        <v>65.11</v>
      </c>
      <c r="H177" s="1" t="n">
        <v>61.83</v>
      </c>
      <c r="I177" s="1" t="n">
        <v>71.01</v>
      </c>
      <c r="J177" s="1" t="n">
        <v>62.87</v>
      </c>
      <c r="K177" s="1" t="n">
        <v>37.13</v>
      </c>
      <c r="L177" s="1" t="s">
        <v>38</v>
      </c>
      <c r="M177" s="1" t="n">
        <v>17886.73</v>
      </c>
      <c r="N177" s="1" t="str">
        <f aca="false">IF(K177&gt;65,"High Risk",IF(K177&gt;=40,"Medium Risk","Low Risk"))</f>
        <v>Low Risk</v>
      </c>
      <c r="O177" s="20" t="b">
        <f aca="false">AND(OR($D177=T1_Region,T1_Region="All Regions"),OR($E177=T1_Income,T1_Income="All Income Groups"))</f>
        <v>1</v>
      </c>
    </row>
    <row r="178" customFormat="false" ht="15" hidden="false" customHeight="true" outlineLevel="0" collapsed="false">
      <c r="A178" s="1" t="s">
        <v>118</v>
      </c>
      <c r="B178" s="1" t="s">
        <v>119</v>
      </c>
      <c r="C178" s="1" t="n">
        <v>2021</v>
      </c>
      <c r="D178" s="1" t="s">
        <v>113</v>
      </c>
      <c r="E178" s="1" t="s">
        <v>86</v>
      </c>
      <c r="F178" s="1" t="n">
        <v>55.77</v>
      </c>
      <c r="G178" s="1" t="n">
        <v>64.61</v>
      </c>
      <c r="H178" s="1" t="n">
        <v>61.11</v>
      </c>
      <c r="I178" s="1" t="n">
        <v>69.77</v>
      </c>
      <c r="J178" s="1" t="n">
        <v>62.82</v>
      </c>
      <c r="K178" s="1" t="n">
        <v>37.18</v>
      </c>
      <c r="L178" s="1" t="s">
        <v>38</v>
      </c>
      <c r="M178" s="1" t="n">
        <v>20652.9</v>
      </c>
      <c r="N178" s="1" t="str">
        <f aca="false">IF(K178&gt;65,"High Risk",IF(K178&gt;=40,"Medium Risk","Low Risk"))</f>
        <v>Low Risk</v>
      </c>
      <c r="O178" s="20" t="b">
        <f aca="false">AND(OR($D178=T1_Region,T1_Region="All Regions"),OR($E178=T1_Income,T1_Income="All Income Groups"))</f>
        <v>1</v>
      </c>
    </row>
    <row r="179" customFormat="false" ht="15" hidden="false" customHeight="true" outlineLevel="0" collapsed="false">
      <c r="A179" s="1" t="s">
        <v>118</v>
      </c>
      <c r="B179" s="1" t="s">
        <v>119</v>
      </c>
      <c r="C179" s="1" t="n">
        <v>2022</v>
      </c>
      <c r="D179" s="1" t="s">
        <v>113</v>
      </c>
      <c r="E179" s="1" t="s">
        <v>86</v>
      </c>
      <c r="F179" s="1" t="n">
        <v>54.38</v>
      </c>
      <c r="G179" s="1" t="n">
        <v>65.39</v>
      </c>
      <c r="H179" s="1" t="n">
        <v>61.51</v>
      </c>
      <c r="I179" s="1" t="n">
        <v>69.94</v>
      </c>
      <c r="J179" s="1" t="n">
        <v>62.8</v>
      </c>
      <c r="K179" s="1" t="n">
        <v>37.2</v>
      </c>
      <c r="L179" s="1" t="s">
        <v>38</v>
      </c>
      <c r="M179" s="1" t="n">
        <v>20884.68</v>
      </c>
      <c r="N179" s="1" t="str">
        <f aca="false">IF(K179&gt;65,"High Risk",IF(K179&gt;=40,"Medium Risk","Low Risk"))</f>
        <v>Low Risk</v>
      </c>
      <c r="O179" s="20" t="b">
        <f aca="false">AND(OR($D179=T1_Region,T1_Region="All Regions"),OR($E179=T1_Income,T1_Income="All Income Groups"))</f>
        <v>1</v>
      </c>
    </row>
    <row r="180" customFormat="false" ht="15" hidden="false" customHeight="true" outlineLevel="0" collapsed="false">
      <c r="A180" s="1" t="s">
        <v>118</v>
      </c>
      <c r="B180" s="1" t="s">
        <v>119</v>
      </c>
      <c r="C180" s="1" t="n">
        <v>2023</v>
      </c>
      <c r="D180" s="1" t="s">
        <v>113</v>
      </c>
      <c r="E180" s="1" t="s">
        <v>86</v>
      </c>
      <c r="F180" s="1" t="n">
        <v>54.52</v>
      </c>
      <c r="G180" s="1" t="n">
        <v>63.79</v>
      </c>
      <c r="H180" s="1" t="n">
        <v>62.98</v>
      </c>
      <c r="I180" s="1" t="n">
        <v>72.48</v>
      </c>
      <c r="J180" s="1" t="n">
        <v>63.44</v>
      </c>
      <c r="K180" s="1" t="n">
        <v>36.56</v>
      </c>
      <c r="L180" s="1" t="s">
        <v>38</v>
      </c>
      <c r="M180" s="1" t="n">
        <v>23343.71</v>
      </c>
      <c r="N180" s="1" t="str">
        <f aca="false">IF(K180&gt;65,"High Risk",IF(K180&gt;=40,"Medium Risk","Low Risk"))</f>
        <v>Low Risk</v>
      </c>
      <c r="O180" s="20" t="b">
        <f aca="false">AND(OR($D180=T1_Region,T1_Region="All Regions"),OR($E180=T1_Income,T1_Income="All Income Groups"))</f>
        <v>1</v>
      </c>
    </row>
    <row r="181" customFormat="false" ht="15" hidden="false" customHeight="true" outlineLevel="0" collapsed="false">
      <c r="A181" s="1" t="s">
        <v>118</v>
      </c>
      <c r="B181" s="1" t="s">
        <v>119</v>
      </c>
      <c r="C181" s="1" t="n">
        <v>2024</v>
      </c>
      <c r="D181" s="1" t="s">
        <v>113</v>
      </c>
      <c r="E181" s="1" t="s">
        <v>86</v>
      </c>
      <c r="F181" s="1" t="n">
        <v>53.92</v>
      </c>
      <c r="G181" s="1" t="n">
        <v>62.1</v>
      </c>
      <c r="H181" s="1" t="n">
        <v>62.43</v>
      </c>
      <c r="I181" s="1" t="n">
        <v>68.28</v>
      </c>
      <c r="J181" s="1" t="n">
        <v>61.68</v>
      </c>
      <c r="K181" s="1" t="n">
        <v>38.32</v>
      </c>
      <c r="L181" s="1" t="s">
        <v>38</v>
      </c>
      <c r="M181" s="1" t="n">
        <v>24626.15</v>
      </c>
      <c r="N181" s="1" t="str">
        <f aca="false">IF(K181&gt;65,"High Risk",IF(K181&gt;=40,"Medium Risk","Low Risk"))</f>
        <v>Low Risk</v>
      </c>
      <c r="O181" s="20" t="b">
        <f aca="false">AND(OR($D181=T1_Region,T1_Region="All Regions"),OR($E181=T1_Income,T1_Income="All Income Groups"))</f>
        <v>1</v>
      </c>
    </row>
    <row r="182" customFormat="false" ht="15" hidden="false" customHeight="true" outlineLevel="0" collapsed="false">
      <c r="A182" s="1" t="s">
        <v>44</v>
      </c>
      <c r="B182" s="1" t="s">
        <v>120</v>
      </c>
      <c r="C182" s="1" t="n">
        <v>2013</v>
      </c>
      <c r="D182" s="1" t="s">
        <v>89</v>
      </c>
      <c r="E182" s="1" t="s">
        <v>90</v>
      </c>
      <c r="F182" s="1" t="n">
        <v>38.33</v>
      </c>
      <c r="G182" s="1" t="n">
        <v>54.97</v>
      </c>
      <c r="H182" s="1" t="n">
        <v>48.99</v>
      </c>
      <c r="I182" s="1" t="n">
        <v>45.89</v>
      </c>
      <c r="J182" s="1" t="n">
        <v>47.04</v>
      </c>
      <c r="K182" s="1" t="n">
        <v>52.96</v>
      </c>
      <c r="L182" s="1" t="s">
        <v>37</v>
      </c>
      <c r="M182" s="1" t="n">
        <v>1432.84</v>
      </c>
      <c r="N182" s="1" t="str">
        <f aca="false">IF(K182&gt;65,"High Risk",IF(K182&gt;=40,"Medium Risk","Low Risk"))</f>
        <v>Medium Risk</v>
      </c>
      <c r="O182" s="20" t="b">
        <f aca="false">AND(OR($D182=T1_Region,T1_Region="All Regions"),OR($E182=T1_Income,T1_Income="All Income Groups"))</f>
        <v>1</v>
      </c>
    </row>
    <row r="183" customFormat="false" ht="15" hidden="false" customHeight="true" outlineLevel="0" collapsed="false">
      <c r="A183" s="1" t="s">
        <v>44</v>
      </c>
      <c r="B183" s="1" t="s">
        <v>120</v>
      </c>
      <c r="C183" s="1" t="n">
        <v>2014</v>
      </c>
      <c r="D183" s="1" t="s">
        <v>89</v>
      </c>
      <c r="E183" s="1" t="s">
        <v>90</v>
      </c>
      <c r="F183" s="1" t="n">
        <v>39.48</v>
      </c>
      <c r="G183" s="1" t="n">
        <v>54.11</v>
      </c>
      <c r="H183" s="1" t="n">
        <v>48.86</v>
      </c>
      <c r="I183" s="1" t="n">
        <v>51.93</v>
      </c>
      <c r="J183" s="1" t="n">
        <v>48.59</v>
      </c>
      <c r="K183" s="1" t="n">
        <v>51.41</v>
      </c>
      <c r="L183" s="1" t="s">
        <v>37</v>
      </c>
      <c r="M183" s="1" t="n">
        <v>1553.88</v>
      </c>
      <c r="N183" s="1" t="str">
        <f aca="false">IF(K183&gt;65,"High Risk",IF(K183&gt;=40,"Medium Risk","Low Risk"))</f>
        <v>Medium Risk</v>
      </c>
      <c r="O183" s="20" t="b">
        <f aca="false">AND(OR($D183=T1_Region,T1_Region="All Regions"),OR($E183=T1_Income,T1_Income="All Income Groups"))</f>
        <v>1</v>
      </c>
    </row>
    <row r="184" customFormat="false" ht="15" hidden="false" customHeight="true" outlineLevel="0" collapsed="false">
      <c r="A184" s="1" t="s">
        <v>44</v>
      </c>
      <c r="B184" s="1" t="s">
        <v>120</v>
      </c>
      <c r="C184" s="1" t="n">
        <v>2015</v>
      </c>
      <c r="D184" s="1" t="s">
        <v>89</v>
      </c>
      <c r="E184" s="1" t="s">
        <v>90</v>
      </c>
      <c r="F184" s="1" t="n">
        <v>40.87</v>
      </c>
      <c r="G184" s="1" t="n">
        <v>54.6</v>
      </c>
      <c r="H184" s="1" t="n">
        <v>49.65</v>
      </c>
      <c r="I184" s="1" t="n">
        <v>52.88</v>
      </c>
      <c r="J184" s="1" t="n">
        <v>49.5</v>
      </c>
      <c r="K184" s="1" t="n">
        <v>50.5</v>
      </c>
      <c r="L184" s="1" t="s">
        <v>37</v>
      </c>
      <c r="M184" s="1" t="n">
        <v>1584</v>
      </c>
      <c r="N184" s="1" t="str">
        <f aca="false">IF(K184&gt;65,"High Risk",IF(K184&gt;=40,"Medium Risk","Low Risk"))</f>
        <v>Medium Risk</v>
      </c>
      <c r="O184" s="20" t="b">
        <f aca="false">AND(OR($D184=T1_Region,T1_Region="All Regions"),OR($E184=T1_Income,T1_Income="All Income Groups"))</f>
        <v>1</v>
      </c>
    </row>
    <row r="185" customFormat="false" ht="15" hidden="false" customHeight="true" outlineLevel="0" collapsed="false">
      <c r="A185" s="1" t="s">
        <v>44</v>
      </c>
      <c r="B185" s="1" t="s">
        <v>120</v>
      </c>
      <c r="C185" s="1" t="n">
        <v>2016</v>
      </c>
      <c r="D185" s="1" t="s">
        <v>89</v>
      </c>
      <c r="E185" s="1" t="s">
        <v>90</v>
      </c>
      <c r="F185" s="1" t="n">
        <v>42.08</v>
      </c>
      <c r="G185" s="1" t="n">
        <v>55.55</v>
      </c>
      <c r="H185" s="1" t="n">
        <v>50.86</v>
      </c>
      <c r="I185" s="1" t="n">
        <v>53.32</v>
      </c>
      <c r="J185" s="1" t="n">
        <v>50.45</v>
      </c>
      <c r="K185" s="1" t="n">
        <v>49.55</v>
      </c>
      <c r="L185" s="1" t="s">
        <v>37</v>
      </c>
      <c r="M185" s="1" t="n">
        <v>1707.51</v>
      </c>
      <c r="N185" s="1" t="str">
        <f aca="false">IF(K185&gt;65,"High Risk",IF(K185&gt;=40,"Medium Risk","Low Risk"))</f>
        <v>Medium Risk</v>
      </c>
      <c r="O185" s="20" t="b">
        <f aca="false">AND(OR($D185=T1_Region,T1_Region="All Regions"),OR($E185=T1_Income,T1_Income="All Income Groups"))</f>
        <v>1</v>
      </c>
    </row>
    <row r="186" customFormat="false" ht="15" hidden="false" customHeight="true" outlineLevel="0" collapsed="false">
      <c r="A186" s="1" t="s">
        <v>44</v>
      </c>
      <c r="B186" s="1" t="s">
        <v>120</v>
      </c>
      <c r="C186" s="1" t="n">
        <v>2017</v>
      </c>
      <c r="D186" s="1" t="s">
        <v>89</v>
      </c>
      <c r="E186" s="1" t="s">
        <v>90</v>
      </c>
      <c r="F186" s="1" t="n">
        <v>43.31</v>
      </c>
      <c r="G186" s="1" t="n">
        <v>56.28</v>
      </c>
      <c r="H186" s="1" t="n">
        <v>51.46</v>
      </c>
      <c r="I186" s="1" t="n">
        <v>56.12</v>
      </c>
      <c r="J186" s="1" t="n">
        <v>51.79</v>
      </c>
      <c r="K186" s="1" t="n">
        <v>48.21</v>
      </c>
      <c r="L186" s="1" t="s">
        <v>37</v>
      </c>
      <c r="M186" s="1" t="n">
        <v>1950.1</v>
      </c>
      <c r="N186" s="1" t="str">
        <f aca="false">IF(K186&gt;65,"High Risk",IF(K186&gt;=40,"Medium Risk","Low Risk"))</f>
        <v>Medium Risk</v>
      </c>
      <c r="O186" s="20" t="b">
        <f aca="false">AND(OR($D186=T1_Region,T1_Region="All Regions"),OR($E186=T1_Income,T1_Income="All Income Groups"))</f>
        <v>1</v>
      </c>
    </row>
    <row r="187" customFormat="false" ht="15" hidden="false" customHeight="true" outlineLevel="0" collapsed="false">
      <c r="A187" s="1" t="s">
        <v>44</v>
      </c>
      <c r="B187" s="1" t="s">
        <v>120</v>
      </c>
      <c r="C187" s="1" t="n">
        <v>2018</v>
      </c>
      <c r="D187" s="1" t="s">
        <v>89</v>
      </c>
      <c r="E187" s="1" t="s">
        <v>90</v>
      </c>
      <c r="F187" s="1" t="n">
        <v>43.65</v>
      </c>
      <c r="G187" s="1" t="n">
        <v>57.31</v>
      </c>
      <c r="H187" s="1" t="n">
        <v>52.41</v>
      </c>
      <c r="I187" s="1" t="n">
        <v>54.3</v>
      </c>
      <c r="J187" s="1" t="n">
        <v>51.92</v>
      </c>
      <c r="K187" s="1" t="n">
        <v>48.08</v>
      </c>
      <c r="L187" s="1" t="s">
        <v>37</v>
      </c>
      <c r="M187" s="1" t="n">
        <v>1966.25</v>
      </c>
      <c r="N187" s="1" t="str">
        <f aca="false">IF(K187&gt;65,"High Risk",IF(K187&gt;=40,"Medium Risk","Low Risk"))</f>
        <v>Medium Risk</v>
      </c>
      <c r="O187" s="20" t="b">
        <f aca="false">AND(OR($D187=T1_Region,T1_Region="All Regions"),OR($E187=T1_Income,T1_Income="All Income Groups"))</f>
        <v>1</v>
      </c>
    </row>
    <row r="188" customFormat="false" ht="15" hidden="false" customHeight="true" outlineLevel="0" collapsed="false">
      <c r="A188" s="1" t="s">
        <v>44</v>
      </c>
      <c r="B188" s="1" t="s">
        <v>120</v>
      </c>
      <c r="C188" s="1" t="n">
        <v>2019</v>
      </c>
      <c r="D188" s="1" t="s">
        <v>89</v>
      </c>
      <c r="E188" s="1" t="s">
        <v>90</v>
      </c>
      <c r="F188" s="1" t="n">
        <v>43.44</v>
      </c>
      <c r="G188" s="1" t="n">
        <v>56.62</v>
      </c>
      <c r="H188" s="1" t="n">
        <v>53.32</v>
      </c>
      <c r="I188" s="1" t="n">
        <v>55.81</v>
      </c>
      <c r="J188" s="1" t="n">
        <v>52.29</v>
      </c>
      <c r="K188" s="1" t="n">
        <v>47.71</v>
      </c>
      <c r="L188" s="1" t="s">
        <v>37</v>
      </c>
      <c r="M188" s="1" t="n">
        <v>2041.43</v>
      </c>
      <c r="N188" s="1" t="str">
        <f aca="false">IF(K188&gt;65,"High Risk",IF(K188&gt;=40,"Medium Risk","Low Risk"))</f>
        <v>Medium Risk</v>
      </c>
      <c r="O188" s="20" t="b">
        <f aca="false">AND(OR($D188=T1_Region,T1_Region="All Regions"),OR($E188=T1_Income,T1_Income="All Income Groups"))</f>
        <v>1</v>
      </c>
    </row>
    <row r="189" customFormat="false" ht="15" hidden="false" customHeight="true" outlineLevel="0" collapsed="false">
      <c r="A189" s="1" t="s">
        <v>44</v>
      </c>
      <c r="B189" s="1" t="s">
        <v>120</v>
      </c>
      <c r="C189" s="1" t="n">
        <v>2020</v>
      </c>
      <c r="D189" s="1" t="s">
        <v>89</v>
      </c>
      <c r="E189" s="1" t="s">
        <v>90</v>
      </c>
      <c r="F189" s="1" t="n">
        <v>42.7</v>
      </c>
      <c r="G189" s="1" t="n">
        <v>55.19</v>
      </c>
      <c r="H189" s="1" t="n">
        <v>52.52</v>
      </c>
      <c r="I189" s="1" t="n">
        <v>53.58</v>
      </c>
      <c r="J189" s="1" t="n">
        <v>51</v>
      </c>
      <c r="K189" s="1" t="n">
        <v>49</v>
      </c>
      <c r="L189" s="1" t="s">
        <v>37</v>
      </c>
      <c r="M189" s="1" t="n">
        <v>1907.04</v>
      </c>
      <c r="N189" s="1" t="str">
        <f aca="false">IF(K189&gt;65,"High Risk",IF(K189&gt;=40,"Medium Risk","Low Risk"))</f>
        <v>Medium Risk</v>
      </c>
      <c r="O189" s="20" t="b">
        <f aca="false">AND(OR($D189=T1_Region,T1_Region="All Regions"),OR($E189=T1_Income,T1_Income="All Income Groups"))</f>
        <v>1</v>
      </c>
    </row>
    <row r="190" customFormat="false" ht="15" hidden="false" customHeight="true" outlineLevel="0" collapsed="false">
      <c r="A190" s="1" t="s">
        <v>44</v>
      </c>
      <c r="B190" s="1" t="s">
        <v>120</v>
      </c>
      <c r="C190" s="1" t="n">
        <v>2021</v>
      </c>
      <c r="D190" s="1" t="s">
        <v>89</v>
      </c>
      <c r="E190" s="1" t="s">
        <v>90</v>
      </c>
      <c r="F190" s="1" t="n">
        <v>41.77</v>
      </c>
      <c r="G190" s="1" t="n">
        <v>53.8</v>
      </c>
      <c r="H190" s="1" t="n">
        <v>52.18</v>
      </c>
      <c r="I190" s="1" t="n">
        <v>55.62</v>
      </c>
      <c r="J190" s="1" t="n">
        <v>50.84</v>
      </c>
      <c r="K190" s="1" t="n">
        <v>49.16</v>
      </c>
      <c r="L190" s="1" t="s">
        <v>37</v>
      </c>
      <c r="M190" s="1" t="n">
        <v>2239.61</v>
      </c>
      <c r="N190" s="1" t="str">
        <f aca="false">IF(K190&gt;65,"High Risk",IF(K190&gt;=40,"Medium Risk","Low Risk"))</f>
        <v>Medium Risk</v>
      </c>
      <c r="O190" s="20" t="b">
        <f aca="false">AND(OR($D190=T1_Region,T1_Region="All Regions"),OR($E190=T1_Income,T1_Income="All Income Groups"))</f>
        <v>1</v>
      </c>
    </row>
    <row r="191" customFormat="false" ht="15" hidden="false" customHeight="true" outlineLevel="0" collapsed="false">
      <c r="A191" s="1" t="s">
        <v>44</v>
      </c>
      <c r="B191" s="1" t="s">
        <v>120</v>
      </c>
      <c r="C191" s="1" t="n">
        <v>2022</v>
      </c>
      <c r="D191" s="1" t="s">
        <v>89</v>
      </c>
      <c r="E191" s="1" t="s">
        <v>90</v>
      </c>
      <c r="F191" s="1" t="n">
        <v>41.93</v>
      </c>
      <c r="G191" s="1" t="n">
        <v>55.06</v>
      </c>
      <c r="H191" s="1" t="n">
        <v>53.48</v>
      </c>
      <c r="I191" s="1" t="n">
        <v>53.02</v>
      </c>
      <c r="J191" s="1" t="n">
        <v>50.88</v>
      </c>
      <c r="K191" s="1" t="n">
        <v>49.12</v>
      </c>
      <c r="L191" s="1" t="s">
        <v>37</v>
      </c>
      <c r="M191" s="1" t="n">
        <v>2279.98</v>
      </c>
      <c r="N191" s="1" t="str">
        <f aca="false">IF(K191&gt;65,"High Risk",IF(K191&gt;=40,"Medium Risk","Low Risk"))</f>
        <v>Medium Risk</v>
      </c>
      <c r="O191" s="20" t="b">
        <f aca="false">AND(OR($D191=T1_Region,T1_Region="All Regions"),OR($E191=T1_Income,T1_Income="All Income Groups"))</f>
        <v>1</v>
      </c>
    </row>
    <row r="192" customFormat="false" ht="15" hidden="false" customHeight="true" outlineLevel="0" collapsed="false">
      <c r="A192" s="1" t="s">
        <v>44</v>
      </c>
      <c r="B192" s="1" t="s">
        <v>120</v>
      </c>
      <c r="C192" s="1" t="n">
        <v>2023</v>
      </c>
      <c r="D192" s="1" t="s">
        <v>89</v>
      </c>
      <c r="E192" s="1" t="s">
        <v>90</v>
      </c>
      <c r="F192" s="1" t="n">
        <v>41.07</v>
      </c>
      <c r="G192" s="1" t="n">
        <v>55.45</v>
      </c>
      <c r="H192" s="1" t="n">
        <v>52.86</v>
      </c>
      <c r="I192" s="1" t="n">
        <v>51.58</v>
      </c>
      <c r="J192" s="1" t="n">
        <v>50.24</v>
      </c>
      <c r="K192" s="1" t="n">
        <v>49.76</v>
      </c>
      <c r="L192" s="1" t="s">
        <v>37</v>
      </c>
      <c r="M192" s="1" t="n">
        <v>2434.45</v>
      </c>
      <c r="N192" s="1" t="str">
        <f aca="false">IF(K192&gt;65,"High Risk",IF(K192&gt;=40,"Medium Risk","Low Risk"))</f>
        <v>Medium Risk</v>
      </c>
      <c r="O192" s="20" t="b">
        <f aca="false">AND(OR($D192=T1_Region,T1_Region="All Regions"),OR($E192=T1_Income,T1_Income="All Income Groups"))</f>
        <v>1</v>
      </c>
    </row>
    <row r="193" customFormat="false" ht="15" hidden="false" customHeight="true" outlineLevel="0" collapsed="false">
      <c r="A193" s="1" t="s">
        <v>44</v>
      </c>
      <c r="B193" s="1" t="s">
        <v>120</v>
      </c>
      <c r="C193" s="1" t="n">
        <v>2024</v>
      </c>
      <c r="D193" s="1" t="s">
        <v>89</v>
      </c>
      <c r="E193" s="1" t="s">
        <v>90</v>
      </c>
      <c r="F193" s="1" t="n">
        <v>41.88</v>
      </c>
      <c r="G193" s="1" t="n">
        <v>56.29</v>
      </c>
      <c r="H193" s="1" t="n">
        <v>53.35</v>
      </c>
      <c r="I193" s="1" t="n">
        <v>52.47</v>
      </c>
      <c r="J193" s="1" t="n">
        <v>51</v>
      </c>
      <c r="K193" s="1" t="n">
        <v>49</v>
      </c>
      <c r="L193" s="1" t="s">
        <v>37</v>
      </c>
      <c r="M193" s="1" t="n">
        <v>2591.99</v>
      </c>
      <c r="N193" s="1" t="str">
        <f aca="false">IF(K193&gt;65,"High Risk",IF(K193&gt;=40,"Medium Risk","Low Risk"))</f>
        <v>Medium Risk</v>
      </c>
      <c r="O193" s="20" t="b">
        <f aca="false">AND(OR($D193=T1_Region,T1_Region="All Regions"),OR($E193=T1_Income,T1_Income="All Income Groups"))</f>
        <v>1</v>
      </c>
    </row>
    <row r="194" customFormat="false" ht="15" hidden="false" customHeight="true" outlineLevel="0" collapsed="false">
      <c r="A194" s="1" t="s">
        <v>121</v>
      </c>
      <c r="B194" s="1" t="s">
        <v>122</v>
      </c>
      <c r="C194" s="1" t="n">
        <v>2013</v>
      </c>
      <c r="D194" s="1" t="s">
        <v>85</v>
      </c>
      <c r="E194" s="1" t="s">
        <v>90</v>
      </c>
      <c r="F194" s="1" t="n">
        <v>33.12</v>
      </c>
      <c r="G194" s="1" t="n">
        <v>49.74</v>
      </c>
      <c r="H194" s="1" t="n">
        <v>54.1</v>
      </c>
      <c r="I194" s="1" t="n">
        <v>55.34</v>
      </c>
      <c r="J194" s="1" t="n">
        <v>48.07</v>
      </c>
      <c r="K194" s="1" t="n">
        <v>51.93</v>
      </c>
      <c r="L194" s="1" t="s">
        <v>37</v>
      </c>
      <c r="M194" s="1" t="n">
        <v>3566.6</v>
      </c>
      <c r="N194" s="1" t="str">
        <f aca="false">IF(K194&gt;65,"High Risk",IF(K194&gt;=40,"Medium Risk","Low Risk"))</f>
        <v>Medium Risk</v>
      </c>
      <c r="O194" s="20" t="b">
        <f aca="false">AND(OR($D194=T1_Region,T1_Region="All Regions"),OR($E194=T1_Income,T1_Income="All Income Groups"))</f>
        <v>1</v>
      </c>
    </row>
    <row r="195" customFormat="false" ht="15" hidden="false" customHeight="true" outlineLevel="0" collapsed="false">
      <c r="A195" s="1" t="s">
        <v>121</v>
      </c>
      <c r="B195" s="1" t="s">
        <v>122</v>
      </c>
      <c r="C195" s="1" t="n">
        <v>2014</v>
      </c>
      <c r="D195" s="1" t="s">
        <v>85</v>
      </c>
      <c r="E195" s="1" t="s">
        <v>90</v>
      </c>
      <c r="F195" s="1" t="n">
        <v>33.38</v>
      </c>
      <c r="G195" s="1" t="n">
        <v>51.14</v>
      </c>
      <c r="H195" s="1" t="n">
        <v>54.91</v>
      </c>
      <c r="I195" s="1" t="n">
        <v>59.32</v>
      </c>
      <c r="J195" s="1" t="n">
        <v>49.69</v>
      </c>
      <c r="K195" s="1" t="n">
        <v>50.31</v>
      </c>
      <c r="L195" s="1" t="s">
        <v>37</v>
      </c>
      <c r="M195" s="1" t="n">
        <v>3441.07</v>
      </c>
      <c r="N195" s="1" t="str">
        <f aca="false">IF(K195&gt;65,"High Risk",IF(K195&gt;=40,"Medium Risk","Low Risk"))</f>
        <v>Medium Risk</v>
      </c>
      <c r="O195" s="20" t="b">
        <f aca="false">AND(OR($D195=T1_Region,T1_Region="All Regions"),OR($E195=T1_Income,T1_Income="All Income Groups"))</f>
        <v>1</v>
      </c>
    </row>
    <row r="196" customFormat="false" ht="15" hidden="false" customHeight="true" outlineLevel="0" collapsed="false">
      <c r="A196" s="1" t="s">
        <v>121</v>
      </c>
      <c r="B196" s="1" t="s">
        <v>122</v>
      </c>
      <c r="C196" s="1" t="n">
        <v>2015</v>
      </c>
      <c r="D196" s="1" t="s">
        <v>85</v>
      </c>
      <c r="E196" s="1" t="s">
        <v>90</v>
      </c>
      <c r="F196" s="1" t="n">
        <v>37.27</v>
      </c>
      <c r="G196" s="1" t="n">
        <v>50.4</v>
      </c>
      <c r="H196" s="1" t="n">
        <v>52.66</v>
      </c>
      <c r="I196" s="1" t="n">
        <v>56.69</v>
      </c>
      <c r="J196" s="1" t="n">
        <v>49.26</v>
      </c>
      <c r="K196" s="1" t="n">
        <v>50.74</v>
      </c>
      <c r="L196" s="1" t="s">
        <v>37</v>
      </c>
      <c r="M196" s="1" t="n">
        <v>3288.22</v>
      </c>
      <c r="N196" s="1" t="str">
        <f aca="false">IF(K196&gt;65,"High Risk",IF(K196&gt;=40,"Medium Risk","Low Risk"))</f>
        <v>Medium Risk</v>
      </c>
      <c r="O196" s="20" t="b">
        <f aca="false">AND(OR($D196=T1_Region,T1_Region="All Regions"),OR($E196=T1_Income,T1_Income="All Income Groups"))</f>
        <v>1</v>
      </c>
    </row>
    <row r="197" customFormat="false" ht="15" hidden="false" customHeight="true" outlineLevel="0" collapsed="false">
      <c r="A197" s="1" t="s">
        <v>121</v>
      </c>
      <c r="B197" s="1" t="s">
        <v>122</v>
      </c>
      <c r="C197" s="1" t="n">
        <v>2016</v>
      </c>
      <c r="D197" s="1" t="s">
        <v>85</v>
      </c>
      <c r="E197" s="1" t="s">
        <v>90</v>
      </c>
      <c r="F197" s="1" t="n">
        <v>38.09</v>
      </c>
      <c r="G197" s="1" t="n">
        <v>51.43</v>
      </c>
      <c r="H197" s="1" t="n">
        <v>55.4</v>
      </c>
      <c r="I197" s="1" t="n">
        <v>57.98</v>
      </c>
      <c r="J197" s="1" t="n">
        <v>50.73</v>
      </c>
      <c r="K197" s="1" t="n">
        <v>49.27</v>
      </c>
      <c r="L197" s="1" t="s">
        <v>37</v>
      </c>
      <c r="M197" s="1" t="n">
        <v>3521.47</v>
      </c>
      <c r="N197" s="1" t="str">
        <f aca="false">IF(K197&gt;65,"High Risk",IF(K197&gt;=40,"Medium Risk","Low Risk"))</f>
        <v>Medium Risk</v>
      </c>
      <c r="O197" s="20" t="b">
        <f aca="false">AND(OR($D197=T1_Region,T1_Region="All Regions"),OR($E197=T1_Income,T1_Income="All Income Groups"))</f>
        <v>1</v>
      </c>
    </row>
    <row r="198" customFormat="false" ht="15" hidden="false" customHeight="true" outlineLevel="0" collapsed="false">
      <c r="A198" s="1" t="s">
        <v>121</v>
      </c>
      <c r="B198" s="1" t="s">
        <v>122</v>
      </c>
      <c r="C198" s="1" t="n">
        <v>2017</v>
      </c>
      <c r="D198" s="1" t="s">
        <v>85</v>
      </c>
      <c r="E198" s="1" t="s">
        <v>90</v>
      </c>
      <c r="F198" s="1" t="n">
        <v>40.23</v>
      </c>
      <c r="G198" s="1" t="n">
        <v>51.52</v>
      </c>
      <c r="H198" s="1" t="n">
        <v>56.44</v>
      </c>
      <c r="I198" s="1" t="n">
        <v>55.96</v>
      </c>
      <c r="J198" s="1" t="n">
        <v>51.04</v>
      </c>
      <c r="K198" s="1" t="n">
        <v>48.96</v>
      </c>
      <c r="L198" s="1" t="s">
        <v>37</v>
      </c>
      <c r="M198" s="1" t="n">
        <v>3798.88</v>
      </c>
      <c r="N198" s="1" t="str">
        <f aca="false">IF(K198&gt;65,"High Risk",IF(K198&gt;=40,"Medium Risk","Low Risk"))</f>
        <v>Medium Risk</v>
      </c>
      <c r="O198" s="20" t="b">
        <f aca="false">AND(OR($D198=T1_Region,T1_Region="All Regions"),OR($E198=T1_Income,T1_Income="All Income Groups"))</f>
        <v>1</v>
      </c>
    </row>
    <row r="199" customFormat="false" ht="15" hidden="false" customHeight="true" outlineLevel="0" collapsed="false">
      <c r="A199" s="1" t="s">
        <v>121</v>
      </c>
      <c r="B199" s="1" t="s">
        <v>122</v>
      </c>
      <c r="C199" s="1" t="n">
        <v>2018</v>
      </c>
      <c r="D199" s="1" t="s">
        <v>85</v>
      </c>
      <c r="E199" s="1" t="s">
        <v>90</v>
      </c>
      <c r="F199" s="1" t="n">
        <v>41.01</v>
      </c>
      <c r="G199" s="1" t="n">
        <v>53.18</v>
      </c>
      <c r="H199" s="1" t="n">
        <v>56.02</v>
      </c>
      <c r="I199" s="1" t="n">
        <v>56.62</v>
      </c>
      <c r="J199" s="1" t="n">
        <v>51.71</v>
      </c>
      <c r="K199" s="1" t="n">
        <v>48.29</v>
      </c>
      <c r="L199" s="1" t="s">
        <v>37</v>
      </c>
      <c r="M199" s="1" t="n">
        <v>3860.95</v>
      </c>
      <c r="N199" s="1" t="str">
        <f aca="false">IF(K199&gt;65,"High Risk",IF(K199&gt;=40,"Medium Risk","Low Risk"))</f>
        <v>Medium Risk</v>
      </c>
      <c r="O199" s="20" t="b">
        <f aca="false">AND(OR($D199=T1_Region,T1_Region="All Regions"),OR($E199=T1_Income,T1_Income="All Income Groups"))</f>
        <v>1</v>
      </c>
    </row>
    <row r="200" customFormat="false" ht="15" hidden="false" customHeight="true" outlineLevel="0" collapsed="false">
      <c r="A200" s="1" t="s">
        <v>121</v>
      </c>
      <c r="B200" s="1" t="s">
        <v>122</v>
      </c>
      <c r="C200" s="1" t="n">
        <v>2019</v>
      </c>
      <c r="D200" s="1" t="s">
        <v>85</v>
      </c>
      <c r="E200" s="1" t="s">
        <v>90</v>
      </c>
      <c r="F200" s="1" t="n">
        <v>39.19</v>
      </c>
      <c r="G200" s="1" t="n">
        <v>53.66</v>
      </c>
      <c r="H200" s="1" t="n">
        <v>56.61</v>
      </c>
      <c r="I200" s="1" t="n">
        <v>55.98</v>
      </c>
      <c r="J200" s="1" t="n">
        <v>51.36</v>
      </c>
      <c r="K200" s="1" t="n">
        <v>48.64</v>
      </c>
      <c r="L200" s="1" t="s">
        <v>37</v>
      </c>
      <c r="M200" s="1" t="n">
        <v>4106.95</v>
      </c>
      <c r="N200" s="1" t="str">
        <f aca="false">IF(K200&gt;65,"High Risk",IF(K200&gt;=40,"Medium Risk","Low Risk"))</f>
        <v>Medium Risk</v>
      </c>
      <c r="O200" s="20" t="b">
        <f aca="false">AND(OR($D200=T1_Region,T1_Region="All Regions"),OR($E200=T1_Income,T1_Income="All Income Groups"))</f>
        <v>1</v>
      </c>
    </row>
    <row r="201" customFormat="false" ht="15" hidden="false" customHeight="true" outlineLevel="0" collapsed="false">
      <c r="A201" s="1" t="s">
        <v>121</v>
      </c>
      <c r="B201" s="1" t="s">
        <v>122</v>
      </c>
      <c r="C201" s="1" t="n">
        <v>2020</v>
      </c>
      <c r="D201" s="1" t="s">
        <v>85</v>
      </c>
      <c r="E201" s="1" t="s">
        <v>90</v>
      </c>
      <c r="F201" s="1" t="n">
        <v>40.86</v>
      </c>
      <c r="G201" s="1" t="n">
        <v>54.42</v>
      </c>
      <c r="H201" s="1" t="n">
        <v>58.41</v>
      </c>
      <c r="I201" s="1" t="n">
        <v>56.67</v>
      </c>
      <c r="J201" s="1" t="n">
        <v>52.59</v>
      </c>
      <c r="K201" s="1" t="n">
        <v>47.41</v>
      </c>
      <c r="L201" s="1" t="s">
        <v>37</v>
      </c>
      <c r="M201" s="1" t="n">
        <v>3853.7</v>
      </c>
      <c r="N201" s="1" t="str">
        <f aca="false">IF(K201&gt;65,"High Risk",IF(K201&gt;=40,"Medium Risk","Low Risk"))</f>
        <v>Medium Risk</v>
      </c>
      <c r="O201" s="20" t="b">
        <f aca="false">AND(OR($D201=T1_Region,T1_Region="All Regions"),OR($E201=T1_Income,T1_Income="All Income Groups"))</f>
        <v>1</v>
      </c>
    </row>
    <row r="202" customFormat="false" ht="15" hidden="false" customHeight="true" outlineLevel="0" collapsed="false">
      <c r="A202" s="1" t="s">
        <v>121</v>
      </c>
      <c r="B202" s="1" t="s">
        <v>122</v>
      </c>
      <c r="C202" s="1" t="n">
        <v>2021</v>
      </c>
      <c r="D202" s="1" t="s">
        <v>85</v>
      </c>
      <c r="E202" s="1" t="s">
        <v>90</v>
      </c>
      <c r="F202" s="1" t="n">
        <v>39.43</v>
      </c>
      <c r="G202" s="1" t="n">
        <v>54.49</v>
      </c>
      <c r="H202" s="1" t="n">
        <v>60.26</v>
      </c>
      <c r="I202" s="1" t="n">
        <v>54.8</v>
      </c>
      <c r="J202" s="1" t="n">
        <v>52.24</v>
      </c>
      <c r="K202" s="1" t="n">
        <v>47.76</v>
      </c>
      <c r="L202" s="1" t="s">
        <v>37</v>
      </c>
      <c r="M202" s="1" t="n">
        <v>4287.17</v>
      </c>
      <c r="N202" s="1" t="str">
        <f aca="false">IF(K202&gt;65,"High Risk",IF(K202&gt;=40,"Medium Risk","Low Risk"))</f>
        <v>Medium Risk</v>
      </c>
      <c r="O202" s="20" t="b">
        <f aca="false">AND(OR($D202=T1_Region,T1_Region="All Regions"),OR($E202=T1_Income,T1_Income="All Income Groups"))</f>
        <v>1</v>
      </c>
    </row>
    <row r="203" customFormat="false" ht="15" hidden="false" customHeight="true" outlineLevel="0" collapsed="false">
      <c r="A203" s="1" t="s">
        <v>121</v>
      </c>
      <c r="B203" s="1" t="s">
        <v>122</v>
      </c>
      <c r="C203" s="1" t="n">
        <v>2022</v>
      </c>
      <c r="D203" s="1" t="s">
        <v>85</v>
      </c>
      <c r="E203" s="1" t="s">
        <v>90</v>
      </c>
      <c r="F203" s="1" t="n">
        <v>40.36</v>
      </c>
      <c r="G203" s="1" t="n">
        <v>54.74</v>
      </c>
      <c r="H203" s="1" t="n">
        <v>59.3</v>
      </c>
      <c r="I203" s="1" t="n">
        <v>52.87</v>
      </c>
      <c r="J203" s="1" t="n">
        <v>51.82</v>
      </c>
      <c r="K203" s="1" t="n">
        <v>48.18</v>
      </c>
      <c r="L203" s="1" t="s">
        <v>37</v>
      </c>
      <c r="M203" s="1" t="n">
        <v>4730.83</v>
      </c>
      <c r="N203" s="1" t="str">
        <f aca="false">IF(K203&gt;65,"High Risk",IF(K203&gt;=40,"Medium Risk","Low Risk"))</f>
        <v>Medium Risk</v>
      </c>
      <c r="O203" s="20" t="b">
        <f aca="false">AND(OR($D203=T1_Region,T1_Region="All Regions"),OR($E203=T1_Income,T1_Income="All Income Groups"))</f>
        <v>1</v>
      </c>
    </row>
    <row r="204" customFormat="false" ht="15" hidden="false" customHeight="true" outlineLevel="0" collapsed="false">
      <c r="A204" s="1" t="s">
        <v>121</v>
      </c>
      <c r="B204" s="1" t="s">
        <v>122</v>
      </c>
      <c r="C204" s="1" t="n">
        <v>2023</v>
      </c>
      <c r="D204" s="1" t="s">
        <v>85</v>
      </c>
      <c r="E204" s="1" t="s">
        <v>90</v>
      </c>
      <c r="F204" s="1" t="n">
        <v>38.88</v>
      </c>
      <c r="G204" s="1" t="n">
        <v>55.56</v>
      </c>
      <c r="H204" s="1" t="n">
        <v>60.24</v>
      </c>
      <c r="I204" s="1" t="n">
        <v>55.41</v>
      </c>
      <c r="J204" s="1" t="n">
        <v>52.52</v>
      </c>
      <c r="K204" s="1" t="n">
        <v>47.48</v>
      </c>
      <c r="L204" s="1" t="s">
        <v>37</v>
      </c>
      <c r="M204" s="1" t="n">
        <v>4876.3</v>
      </c>
      <c r="N204" s="1" t="str">
        <f aca="false">IF(K204&gt;65,"High Risk",IF(K204&gt;=40,"Medium Risk","Low Risk"))</f>
        <v>Medium Risk</v>
      </c>
      <c r="O204" s="20" t="b">
        <f aca="false">AND(OR($D204=T1_Region,T1_Region="All Regions"),OR($E204=T1_Income,T1_Income="All Income Groups"))</f>
        <v>1</v>
      </c>
    </row>
    <row r="205" customFormat="false" ht="15" hidden="false" customHeight="true" outlineLevel="0" collapsed="false">
      <c r="A205" s="1" t="s">
        <v>121</v>
      </c>
      <c r="B205" s="1" t="s">
        <v>122</v>
      </c>
      <c r="C205" s="1" t="n">
        <v>2024</v>
      </c>
      <c r="D205" s="1" t="s">
        <v>85</v>
      </c>
      <c r="E205" s="1" t="s">
        <v>90</v>
      </c>
      <c r="F205" s="1" t="n">
        <v>36.83</v>
      </c>
      <c r="G205" s="1" t="n">
        <v>53.41</v>
      </c>
      <c r="H205" s="1" t="n">
        <v>56.83</v>
      </c>
      <c r="I205" s="1" t="n">
        <v>55.49</v>
      </c>
      <c r="J205" s="1" t="n">
        <v>50.64</v>
      </c>
      <c r="K205" s="1" t="n">
        <v>49.36</v>
      </c>
      <c r="L205" s="1" t="s">
        <v>37</v>
      </c>
      <c r="M205" s="1" t="n">
        <v>4925.44</v>
      </c>
      <c r="N205" s="1" t="str">
        <f aca="false">IF(K205&gt;65,"High Risk",IF(K205&gt;=40,"Medium Risk","Low Risk"))</f>
        <v>Medium Risk</v>
      </c>
      <c r="O205" s="20" t="b">
        <f aca="false">AND(OR($D205=T1_Region,T1_Region="All Regions"),OR($E205=T1_Income,T1_Income="All Income Groups"))</f>
        <v>1</v>
      </c>
    </row>
    <row r="206" customFormat="false" ht="15" hidden="false" customHeight="true" outlineLevel="0" collapsed="false">
      <c r="A206" s="1" t="s">
        <v>123</v>
      </c>
      <c r="B206" s="1" t="s">
        <v>124</v>
      </c>
      <c r="C206" s="1" t="n">
        <v>2013</v>
      </c>
      <c r="D206" s="1" t="s">
        <v>108</v>
      </c>
      <c r="E206" s="1" t="s">
        <v>90</v>
      </c>
      <c r="F206" s="1" t="n">
        <v>29.34</v>
      </c>
      <c r="G206" s="1" t="n">
        <v>36.21</v>
      </c>
      <c r="H206" s="1" t="n">
        <v>33.18</v>
      </c>
      <c r="I206" s="1" t="n">
        <v>45.72</v>
      </c>
      <c r="J206" s="1" t="n">
        <v>36.11</v>
      </c>
      <c r="K206" s="1" t="n">
        <v>63.89</v>
      </c>
      <c r="L206" s="1" t="s">
        <v>37</v>
      </c>
      <c r="M206" s="1" t="n">
        <v>6222.74</v>
      </c>
      <c r="N206" s="1" t="str">
        <f aca="false">IF(K206&gt;65,"High Risk",IF(K206&gt;=40,"Medium Risk","Low Risk"))</f>
        <v>Medium Risk</v>
      </c>
      <c r="O206" s="20" t="b">
        <f aca="false">AND(OR($D206=T1_Region,T1_Region="All Regions"),OR($E206=T1_Income,T1_Income="All Income Groups"))</f>
        <v>1</v>
      </c>
    </row>
    <row r="207" customFormat="false" ht="15" hidden="false" customHeight="true" outlineLevel="0" collapsed="false">
      <c r="A207" s="1" t="s">
        <v>123</v>
      </c>
      <c r="B207" s="1" t="s">
        <v>124</v>
      </c>
      <c r="C207" s="1" t="n">
        <v>2014</v>
      </c>
      <c r="D207" s="1" t="s">
        <v>108</v>
      </c>
      <c r="E207" s="1" t="s">
        <v>90</v>
      </c>
      <c r="F207" s="1" t="n">
        <v>31.32</v>
      </c>
      <c r="G207" s="1" t="n">
        <v>35.37</v>
      </c>
      <c r="H207" s="1" t="n">
        <v>34.33</v>
      </c>
      <c r="I207" s="1" t="n">
        <v>53.48</v>
      </c>
      <c r="J207" s="1" t="n">
        <v>38.63</v>
      </c>
      <c r="K207" s="1" t="n">
        <v>61.37</v>
      </c>
      <c r="L207" s="1" t="s">
        <v>37</v>
      </c>
      <c r="M207" s="1" t="n">
        <v>5672.06</v>
      </c>
      <c r="N207" s="1" t="str">
        <f aca="false">IF(K207&gt;65,"High Risk",IF(K207&gt;=40,"Medium Risk","Low Risk"))</f>
        <v>Medium Risk</v>
      </c>
      <c r="O207" s="20" t="b">
        <f aca="false">AND(OR($D207=T1_Region,T1_Region="All Regions"),OR($E207=T1_Income,T1_Income="All Income Groups"))</f>
        <v>1</v>
      </c>
    </row>
    <row r="208" customFormat="false" ht="15" hidden="false" customHeight="true" outlineLevel="0" collapsed="false">
      <c r="A208" s="1" t="s">
        <v>123</v>
      </c>
      <c r="B208" s="1" t="s">
        <v>124</v>
      </c>
      <c r="C208" s="1" t="n">
        <v>2015</v>
      </c>
      <c r="D208" s="1" t="s">
        <v>108</v>
      </c>
      <c r="E208" s="1" t="s">
        <v>90</v>
      </c>
      <c r="F208" s="1" t="n">
        <v>32.48</v>
      </c>
      <c r="G208" s="1" t="n">
        <v>40.2</v>
      </c>
      <c r="H208" s="1" t="n">
        <v>37.66</v>
      </c>
      <c r="I208" s="1" t="n">
        <v>52.41</v>
      </c>
      <c r="J208" s="1" t="n">
        <v>40.69</v>
      </c>
      <c r="K208" s="1" t="n">
        <v>59.31</v>
      </c>
      <c r="L208" s="1" t="s">
        <v>37</v>
      </c>
      <c r="M208" s="1" t="n">
        <v>4952.73</v>
      </c>
      <c r="N208" s="1" t="str">
        <f aca="false">IF(K208&gt;65,"High Risk",IF(K208&gt;=40,"Medium Risk","Low Risk"))</f>
        <v>Medium Risk</v>
      </c>
      <c r="O208" s="20" t="b">
        <f aca="false">AND(OR($D208=T1_Region,T1_Region="All Regions"),OR($E208=T1_Income,T1_Income="All Income Groups"))</f>
        <v>1</v>
      </c>
    </row>
    <row r="209" customFormat="false" ht="15" hidden="false" customHeight="true" outlineLevel="0" collapsed="false">
      <c r="A209" s="1" t="s">
        <v>123</v>
      </c>
      <c r="B209" s="1" t="s">
        <v>124</v>
      </c>
      <c r="C209" s="1" t="n">
        <v>2016</v>
      </c>
      <c r="D209" s="1" t="s">
        <v>108</v>
      </c>
      <c r="E209" s="1" t="s">
        <v>90</v>
      </c>
      <c r="F209" s="1" t="n">
        <v>34.57</v>
      </c>
      <c r="G209" s="1" t="n">
        <v>40.21</v>
      </c>
      <c r="H209" s="1" t="n">
        <v>38.21</v>
      </c>
      <c r="I209" s="1" t="n">
        <v>54.88</v>
      </c>
      <c r="J209" s="1" t="n">
        <v>41.97</v>
      </c>
      <c r="K209" s="1" t="n">
        <v>58.03</v>
      </c>
      <c r="L209" s="1" t="s">
        <v>37</v>
      </c>
      <c r="M209" s="1" t="n">
        <v>5710.6</v>
      </c>
      <c r="N209" s="1" t="str">
        <f aca="false">IF(K209&gt;65,"High Risk",IF(K209&gt;=40,"Medium Risk","Low Risk"))</f>
        <v>Medium Risk</v>
      </c>
      <c r="O209" s="20" t="b">
        <f aca="false">AND(OR($D209=T1_Region,T1_Region="All Regions"),OR($E209=T1_Income,T1_Income="All Income Groups"))</f>
        <v>1</v>
      </c>
    </row>
    <row r="210" customFormat="false" ht="15" hidden="false" customHeight="true" outlineLevel="0" collapsed="false">
      <c r="A210" s="1" t="s">
        <v>123</v>
      </c>
      <c r="B210" s="1" t="s">
        <v>124</v>
      </c>
      <c r="C210" s="1" t="n">
        <v>2017</v>
      </c>
      <c r="D210" s="1" t="s">
        <v>108</v>
      </c>
      <c r="E210" s="1" t="s">
        <v>90</v>
      </c>
      <c r="F210" s="1" t="n">
        <v>33.66</v>
      </c>
      <c r="G210" s="1" t="n">
        <v>40.99</v>
      </c>
      <c r="H210" s="1" t="n">
        <v>37.78</v>
      </c>
      <c r="I210" s="1" t="n">
        <v>53.95</v>
      </c>
      <c r="J210" s="1" t="n">
        <v>41.6</v>
      </c>
      <c r="K210" s="1" t="n">
        <v>58.4</v>
      </c>
      <c r="L210" s="1" t="s">
        <v>37</v>
      </c>
      <c r="M210" s="1" t="n">
        <v>6000.93</v>
      </c>
      <c r="N210" s="1" t="str">
        <f aca="false">IF(K210&gt;65,"High Risk",IF(K210&gt;=40,"Medium Risk","Low Risk"))</f>
        <v>Medium Risk</v>
      </c>
      <c r="O210" s="20" t="b">
        <f aca="false">AND(OR($D210=T1_Region,T1_Region="All Regions"),OR($E210=T1_Income,T1_Income="All Income Groups"))</f>
        <v>1</v>
      </c>
    </row>
    <row r="211" customFormat="false" ht="15" hidden="false" customHeight="true" outlineLevel="0" collapsed="false">
      <c r="A211" s="1" t="s">
        <v>123</v>
      </c>
      <c r="B211" s="1" t="s">
        <v>124</v>
      </c>
      <c r="C211" s="1" t="n">
        <v>2018</v>
      </c>
      <c r="D211" s="1" t="s">
        <v>108</v>
      </c>
      <c r="E211" s="1" t="s">
        <v>90</v>
      </c>
      <c r="F211" s="1" t="n">
        <v>28.79</v>
      </c>
      <c r="G211" s="1" t="n">
        <v>40.29</v>
      </c>
      <c r="H211" s="1" t="n">
        <v>34.47</v>
      </c>
      <c r="I211" s="1" t="n">
        <v>49.35</v>
      </c>
      <c r="J211" s="1" t="n">
        <v>38.22</v>
      </c>
      <c r="K211" s="1" t="n">
        <v>61.78</v>
      </c>
      <c r="L211" s="1" t="s">
        <v>37</v>
      </c>
      <c r="M211" s="1" t="n">
        <v>4783.01</v>
      </c>
      <c r="N211" s="1" t="str">
        <f aca="false">IF(K211&gt;65,"High Risk",IF(K211&gt;=40,"Medium Risk","Low Risk"))</f>
        <v>Medium Risk</v>
      </c>
      <c r="O211" s="20" t="b">
        <f aca="false">AND(OR($D211=T1_Region,T1_Region="All Regions"),OR($E211=T1_Income,T1_Income="All Income Groups"))</f>
        <v>1</v>
      </c>
    </row>
    <row r="212" customFormat="false" ht="15" hidden="false" customHeight="true" outlineLevel="0" collapsed="false">
      <c r="A212" s="1" t="s">
        <v>123</v>
      </c>
      <c r="B212" s="1" t="s">
        <v>124</v>
      </c>
      <c r="C212" s="1" t="n">
        <v>2019</v>
      </c>
      <c r="D212" s="1" t="s">
        <v>108</v>
      </c>
      <c r="E212" s="1" t="s">
        <v>90</v>
      </c>
      <c r="F212" s="1" t="n">
        <v>27.78</v>
      </c>
      <c r="G212" s="1" t="n">
        <v>38.83</v>
      </c>
      <c r="H212" s="1" t="n">
        <v>33.4</v>
      </c>
      <c r="I212" s="1" t="n">
        <v>44.45</v>
      </c>
      <c r="J212" s="1" t="n">
        <v>36.11</v>
      </c>
      <c r="K212" s="1" t="n">
        <v>63.89</v>
      </c>
      <c r="L212" s="1" t="s">
        <v>37</v>
      </c>
      <c r="M212" s="1" t="n">
        <v>3997.49</v>
      </c>
      <c r="N212" s="1" t="str">
        <f aca="false">IF(K212&gt;65,"High Risk",IF(K212&gt;=40,"Medium Risk","Low Risk"))</f>
        <v>Medium Risk</v>
      </c>
      <c r="O212" s="20" t="b">
        <f aca="false">AND(OR($D212=T1_Region,T1_Region="All Regions"),OR($E212=T1_Income,T1_Income="All Income Groups"))</f>
        <v>1</v>
      </c>
    </row>
    <row r="213" customFormat="false" ht="15" hidden="false" customHeight="true" outlineLevel="0" collapsed="false">
      <c r="A213" s="1" t="s">
        <v>123</v>
      </c>
      <c r="B213" s="1" t="s">
        <v>124</v>
      </c>
      <c r="C213" s="1" t="n">
        <v>2020</v>
      </c>
      <c r="D213" s="1" t="s">
        <v>108</v>
      </c>
      <c r="E213" s="1" t="s">
        <v>90</v>
      </c>
      <c r="F213" s="1" t="n">
        <v>25.5</v>
      </c>
      <c r="G213" s="1" t="n">
        <v>39.29</v>
      </c>
      <c r="H213" s="1" t="n">
        <v>32.89</v>
      </c>
      <c r="I213" s="1" t="n">
        <v>45.03</v>
      </c>
      <c r="J213" s="1" t="n">
        <v>35.68</v>
      </c>
      <c r="K213" s="1" t="n">
        <v>64.32</v>
      </c>
      <c r="L213" s="1" t="s">
        <v>37</v>
      </c>
      <c r="M213" s="1" t="n">
        <v>3202.5</v>
      </c>
      <c r="N213" s="1" t="str">
        <f aca="false">IF(K213&gt;65,"High Risk",IF(K213&gt;=40,"Medium Risk","Low Risk"))</f>
        <v>Medium Risk</v>
      </c>
      <c r="O213" s="20" t="b">
        <f aca="false">AND(OR($D213=T1_Region,T1_Region="All Regions"),OR($E213=T1_Income,T1_Income="All Income Groups"))</f>
        <v>1</v>
      </c>
    </row>
    <row r="214" customFormat="false" ht="15" hidden="false" customHeight="true" outlineLevel="0" collapsed="false">
      <c r="A214" s="1" t="s">
        <v>123</v>
      </c>
      <c r="B214" s="1" t="s">
        <v>124</v>
      </c>
      <c r="C214" s="1" t="n">
        <v>2021</v>
      </c>
      <c r="D214" s="1" t="s">
        <v>108</v>
      </c>
      <c r="E214" s="1" t="s">
        <v>90</v>
      </c>
      <c r="F214" s="1" t="n">
        <v>25.05</v>
      </c>
      <c r="G214" s="1" t="n">
        <v>38.57</v>
      </c>
      <c r="H214" s="1" t="n">
        <v>32.88</v>
      </c>
      <c r="I214" s="1" t="n">
        <v>46.12</v>
      </c>
      <c r="J214" s="1" t="n">
        <v>35.65</v>
      </c>
      <c r="K214" s="1" t="n">
        <v>64.35</v>
      </c>
      <c r="L214" s="1" t="s">
        <v>37</v>
      </c>
      <c r="M214" s="1" t="n">
        <v>4605.15</v>
      </c>
      <c r="N214" s="1" t="str">
        <f aca="false">IF(K214&gt;65,"High Risk",IF(K214&gt;=40,"Medium Risk","Low Risk"))</f>
        <v>Medium Risk</v>
      </c>
      <c r="O214" s="20" t="b">
        <f aca="false">AND(OR($D214=T1_Region,T1_Region="All Regions"),OR($E214=T1_Income,T1_Income="All Income Groups"))</f>
        <v>1</v>
      </c>
    </row>
    <row r="215" customFormat="false" ht="15" hidden="false" customHeight="true" outlineLevel="0" collapsed="false">
      <c r="A215" s="1" t="s">
        <v>123</v>
      </c>
      <c r="B215" s="1" t="s">
        <v>124</v>
      </c>
      <c r="C215" s="1" t="n">
        <v>2022</v>
      </c>
      <c r="D215" s="1" t="s">
        <v>108</v>
      </c>
      <c r="E215" s="1" t="s">
        <v>90</v>
      </c>
      <c r="F215" s="1" t="n">
        <v>24.94</v>
      </c>
      <c r="G215" s="1" t="n">
        <v>37.59</v>
      </c>
      <c r="H215" s="1" t="n">
        <v>32.82</v>
      </c>
      <c r="I215" s="1" t="n">
        <v>46.34</v>
      </c>
      <c r="J215" s="1" t="n">
        <v>35.42</v>
      </c>
      <c r="K215" s="1" t="n">
        <v>64.58</v>
      </c>
      <c r="L215" s="1" t="s">
        <v>37</v>
      </c>
      <c r="M215" s="1" t="n">
        <v>4721.2</v>
      </c>
      <c r="N215" s="1" t="str">
        <f aca="false">IF(K215&gt;65,"High Risk",IF(K215&gt;=40,"Medium Risk","Low Risk"))</f>
        <v>Medium Risk</v>
      </c>
      <c r="O215" s="20" t="b">
        <f aca="false">AND(OR($D215=T1_Region,T1_Region="All Regions"),OR($E215=T1_Income,T1_Income="All Income Groups"))</f>
        <v>1</v>
      </c>
    </row>
    <row r="216" customFormat="false" ht="15" hidden="false" customHeight="true" outlineLevel="0" collapsed="false">
      <c r="A216" s="1" t="s">
        <v>123</v>
      </c>
      <c r="B216" s="1" t="s">
        <v>124</v>
      </c>
      <c r="C216" s="1" t="n">
        <v>2023</v>
      </c>
      <c r="D216" s="1" t="s">
        <v>108</v>
      </c>
      <c r="E216" s="1" t="s">
        <v>90</v>
      </c>
      <c r="F216" s="1" t="n">
        <v>24.15</v>
      </c>
      <c r="G216" s="1" t="n">
        <v>36.3</v>
      </c>
      <c r="H216" s="1" t="n">
        <v>31.7</v>
      </c>
      <c r="I216" s="1" t="n">
        <v>44.21</v>
      </c>
      <c r="J216" s="1" t="n">
        <v>34.09</v>
      </c>
      <c r="K216" s="1" t="n">
        <v>65.91</v>
      </c>
      <c r="L216" s="1" t="s">
        <v>37</v>
      </c>
      <c r="M216" s="1" t="n">
        <v>5049.3</v>
      </c>
      <c r="N216" s="1" t="str">
        <f aca="false">IF(K216&gt;65,"High Risk",IF(K216&gt;=40,"Medium Risk","Low Risk"))</f>
        <v>High Risk</v>
      </c>
      <c r="O216" s="20" t="b">
        <f aca="false">AND(OR($D216=T1_Region,T1_Region="All Regions"),OR($E216=T1_Income,T1_Income="All Income Groups"))</f>
        <v>1</v>
      </c>
    </row>
    <row r="217" customFormat="false" ht="15" hidden="false" customHeight="true" outlineLevel="0" collapsed="false">
      <c r="A217" s="1" t="s">
        <v>123</v>
      </c>
      <c r="B217" s="1" t="s">
        <v>124</v>
      </c>
      <c r="C217" s="1" t="n">
        <v>2024</v>
      </c>
      <c r="D217" s="1" t="s">
        <v>108</v>
      </c>
      <c r="E217" s="1" t="s">
        <v>90</v>
      </c>
      <c r="F217" s="1" t="n">
        <v>24.63</v>
      </c>
      <c r="G217" s="1" t="n">
        <v>35.71</v>
      </c>
      <c r="H217" s="1" t="n">
        <v>31.03</v>
      </c>
      <c r="I217" s="1" t="n">
        <v>38.89</v>
      </c>
      <c r="J217" s="1" t="n">
        <v>32.56</v>
      </c>
      <c r="K217" s="1" t="n">
        <v>67.44</v>
      </c>
      <c r="L217" s="1" t="s">
        <v>37</v>
      </c>
      <c r="M217" s="1" t="n">
        <v>5190.17</v>
      </c>
      <c r="N217" s="1" t="str">
        <f aca="false">IF(K217&gt;65,"High Risk",IF(K217&gt;=40,"Medium Risk","Low Risk"))</f>
        <v>High Risk</v>
      </c>
      <c r="O217" s="20" t="b">
        <f aca="false">AND(OR($D217=T1_Region,T1_Region="All Regions"),OR($E217=T1_Income,T1_Income="All Income Groups"))</f>
        <v>1</v>
      </c>
    </row>
    <row r="218" customFormat="false" ht="15" hidden="false" customHeight="true" outlineLevel="0" collapsed="false">
      <c r="A218" s="1" t="s">
        <v>125</v>
      </c>
      <c r="B218" s="1" t="s">
        <v>126</v>
      </c>
      <c r="C218" s="1" t="n">
        <v>2013</v>
      </c>
      <c r="D218" s="1" t="s">
        <v>113</v>
      </c>
      <c r="E218" s="1" t="s">
        <v>86</v>
      </c>
      <c r="F218" s="1" t="n">
        <v>48.71</v>
      </c>
      <c r="G218" s="1" t="n">
        <v>66.14</v>
      </c>
      <c r="H218" s="1" t="n">
        <v>62.56</v>
      </c>
      <c r="I218" s="1" t="n">
        <v>72.43</v>
      </c>
      <c r="J218" s="1" t="n">
        <v>62.46</v>
      </c>
      <c r="K218" s="1" t="n">
        <v>37.54</v>
      </c>
      <c r="L218" s="1" t="s">
        <v>38</v>
      </c>
      <c r="M218" s="1" t="n">
        <v>35701.67</v>
      </c>
      <c r="N218" s="1" t="str">
        <f aca="false">IF(K218&gt;65,"High Risk",IF(K218&gt;=40,"Medium Risk","Low Risk"))</f>
        <v>Low Risk</v>
      </c>
      <c r="O218" s="20" t="b">
        <f aca="false">AND(OR($D218=T1_Region,T1_Region="All Regions"),OR($E218=T1_Income,T1_Income="All Income Groups"))</f>
        <v>1</v>
      </c>
    </row>
    <row r="219" customFormat="false" ht="15" hidden="false" customHeight="true" outlineLevel="0" collapsed="false">
      <c r="A219" s="1" t="s">
        <v>125</v>
      </c>
      <c r="B219" s="1" t="s">
        <v>126</v>
      </c>
      <c r="C219" s="1" t="n">
        <v>2014</v>
      </c>
      <c r="D219" s="1" t="s">
        <v>113</v>
      </c>
      <c r="E219" s="1" t="s">
        <v>86</v>
      </c>
      <c r="F219" s="1" t="n">
        <v>48.12</v>
      </c>
      <c r="G219" s="1" t="n">
        <v>66.51</v>
      </c>
      <c r="H219" s="1" t="n">
        <v>60.83</v>
      </c>
      <c r="I219" s="1" t="n">
        <v>74.25</v>
      </c>
      <c r="J219" s="1" t="n">
        <v>62.43</v>
      </c>
      <c r="K219" s="1" t="n">
        <v>37.57</v>
      </c>
      <c r="L219" s="1" t="s">
        <v>38</v>
      </c>
      <c r="M219" s="1" t="n">
        <v>36028.35</v>
      </c>
      <c r="N219" s="1" t="str">
        <f aca="false">IF(K219&gt;65,"High Risk",IF(K219&gt;=40,"Medium Risk","Low Risk"))</f>
        <v>Low Risk</v>
      </c>
      <c r="O219" s="20" t="b">
        <f aca="false">AND(OR($D219=T1_Region,T1_Region="All Regions"),OR($E219=T1_Income,T1_Income="All Income Groups"))</f>
        <v>1</v>
      </c>
    </row>
    <row r="220" customFormat="false" ht="15" hidden="false" customHeight="true" outlineLevel="0" collapsed="false">
      <c r="A220" s="1" t="s">
        <v>125</v>
      </c>
      <c r="B220" s="1" t="s">
        <v>126</v>
      </c>
      <c r="C220" s="1" t="n">
        <v>2015</v>
      </c>
      <c r="D220" s="1" t="s">
        <v>113</v>
      </c>
      <c r="E220" s="1" t="s">
        <v>86</v>
      </c>
      <c r="F220" s="1" t="n">
        <v>49.23</v>
      </c>
      <c r="G220" s="1" t="n">
        <v>64.91</v>
      </c>
      <c r="H220" s="1" t="n">
        <v>64.12</v>
      </c>
      <c r="I220" s="1" t="n">
        <v>72.64</v>
      </c>
      <c r="J220" s="1" t="n">
        <v>62.72</v>
      </c>
      <c r="K220" s="1" t="n">
        <v>37.28</v>
      </c>
      <c r="L220" s="1" t="s">
        <v>38</v>
      </c>
      <c r="M220" s="1" t="n">
        <v>30639.88</v>
      </c>
      <c r="N220" s="1" t="str">
        <f aca="false">IF(K220&gt;65,"High Risk",IF(K220&gt;=40,"Medium Risk","Low Risk"))</f>
        <v>Low Risk</v>
      </c>
      <c r="O220" s="20" t="b">
        <f aca="false">AND(OR($D220=T1_Region,T1_Region="All Regions"),OR($E220=T1_Income,T1_Income="All Income Groups"))</f>
        <v>1</v>
      </c>
    </row>
    <row r="221" customFormat="false" ht="15" hidden="false" customHeight="true" outlineLevel="0" collapsed="false">
      <c r="A221" s="1" t="s">
        <v>125</v>
      </c>
      <c r="B221" s="1" t="s">
        <v>126</v>
      </c>
      <c r="C221" s="1" t="n">
        <v>2016</v>
      </c>
      <c r="D221" s="1" t="s">
        <v>113</v>
      </c>
      <c r="E221" s="1" t="s">
        <v>86</v>
      </c>
      <c r="F221" s="1" t="n">
        <v>50.39</v>
      </c>
      <c r="G221" s="1" t="n">
        <v>64.9</v>
      </c>
      <c r="H221" s="1" t="n">
        <v>64.86</v>
      </c>
      <c r="I221" s="1" t="n">
        <v>71.9</v>
      </c>
      <c r="J221" s="1" t="n">
        <v>63.01</v>
      </c>
      <c r="K221" s="1" t="n">
        <v>36.99</v>
      </c>
      <c r="L221" s="1" t="s">
        <v>38</v>
      </c>
      <c r="M221" s="1" t="n">
        <v>31391.57</v>
      </c>
      <c r="N221" s="1" t="str">
        <f aca="false">IF(K221&gt;65,"High Risk",IF(K221&gt;=40,"Medium Risk","Low Risk"))</f>
        <v>Low Risk</v>
      </c>
      <c r="O221" s="20" t="b">
        <f aca="false">AND(OR($D221=T1_Region,T1_Region="All Regions"),OR($E221=T1_Income,T1_Income="All Income Groups"))</f>
        <v>1</v>
      </c>
    </row>
    <row r="222" customFormat="false" ht="15" hidden="false" customHeight="true" outlineLevel="0" collapsed="false">
      <c r="A222" s="1" t="s">
        <v>125</v>
      </c>
      <c r="B222" s="1" t="s">
        <v>126</v>
      </c>
      <c r="C222" s="1" t="n">
        <v>2017</v>
      </c>
      <c r="D222" s="1" t="s">
        <v>113</v>
      </c>
      <c r="E222" s="1" t="s">
        <v>86</v>
      </c>
      <c r="F222" s="1" t="n">
        <v>51.8</v>
      </c>
      <c r="G222" s="1" t="n">
        <v>64.52</v>
      </c>
      <c r="H222" s="1" t="n">
        <v>64.89</v>
      </c>
      <c r="I222" s="1" t="n">
        <v>70.24</v>
      </c>
      <c r="J222" s="1" t="n">
        <v>62.86</v>
      </c>
      <c r="K222" s="1" t="n">
        <v>37.14</v>
      </c>
      <c r="L222" s="1" t="s">
        <v>38</v>
      </c>
      <c r="M222" s="1" t="n">
        <v>32844.12</v>
      </c>
      <c r="N222" s="1" t="str">
        <f aca="false">IF(K222&gt;65,"High Risk",IF(K222&gt;=40,"Medium Risk","Low Risk"))</f>
        <v>Low Risk</v>
      </c>
      <c r="O222" s="20" t="b">
        <f aca="false">AND(OR($D222=T1_Region,T1_Region="All Regions"),OR($E222=T1_Income,T1_Income="All Income Groups"))</f>
        <v>1</v>
      </c>
    </row>
    <row r="223" customFormat="false" ht="15" hidden="false" customHeight="true" outlineLevel="0" collapsed="false">
      <c r="A223" s="1" t="s">
        <v>125</v>
      </c>
      <c r="B223" s="1" t="s">
        <v>126</v>
      </c>
      <c r="C223" s="1" t="n">
        <v>2018</v>
      </c>
      <c r="D223" s="1" t="s">
        <v>113</v>
      </c>
      <c r="E223" s="1" t="s">
        <v>86</v>
      </c>
      <c r="F223" s="1" t="n">
        <v>52.87</v>
      </c>
      <c r="G223" s="1" t="n">
        <v>64.17</v>
      </c>
      <c r="H223" s="1" t="n">
        <v>63.7</v>
      </c>
      <c r="I223" s="1" t="n">
        <v>72.25</v>
      </c>
      <c r="J223" s="1" t="n">
        <v>63.25</v>
      </c>
      <c r="K223" s="1" t="n">
        <v>36.75</v>
      </c>
      <c r="L223" s="1" t="s">
        <v>38</v>
      </c>
      <c r="M223" s="1" t="n">
        <v>35062.34</v>
      </c>
      <c r="N223" s="1" t="str">
        <f aca="false">IF(K223&gt;65,"High Risk",IF(K223&gt;=40,"Medium Risk","Low Risk"))</f>
        <v>Low Risk</v>
      </c>
      <c r="O223" s="20" t="b">
        <f aca="false">AND(OR($D223=T1_Region,T1_Region="All Regions"),OR($E223=T1_Income,T1_Income="All Income Groups"))</f>
        <v>1</v>
      </c>
    </row>
    <row r="224" customFormat="false" ht="15" hidden="false" customHeight="true" outlineLevel="0" collapsed="false">
      <c r="A224" s="1" t="s">
        <v>125</v>
      </c>
      <c r="B224" s="1" t="s">
        <v>126</v>
      </c>
      <c r="C224" s="1" t="n">
        <v>2019</v>
      </c>
      <c r="D224" s="1" t="s">
        <v>113</v>
      </c>
      <c r="E224" s="1" t="s">
        <v>86</v>
      </c>
      <c r="F224" s="1" t="n">
        <v>53.58</v>
      </c>
      <c r="G224" s="1" t="n">
        <v>66.08</v>
      </c>
      <c r="H224" s="1" t="n">
        <v>65.92</v>
      </c>
      <c r="I224" s="1" t="n">
        <v>71.4</v>
      </c>
      <c r="J224" s="1" t="n">
        <v>64.25</v>
      </c>
      <c r="K224" s="1" t="n">
        <v>35.75</v>
      </c>
      <c r="L224" s="1" t="s">
        <v>38</v>
      </c>
      <c r="M224" s="1" t="n">
        <v>33812.79</v>
      </c>
      <c r="N224" s="1" t="str">
        <f aca="false">IF(K224&gt;65,"High Risk",IF(K224&gt;=40,"Medium Risk","Low Risk"))</f>
        <v>Low Risk</v>
      </c>
      <c r="O224" s="20" t="b">
        <f aca="false">AND(OR($D224=T1_Region,T1_Region="All Regions"),OR($E224=T1_Income,T1_Income="All Income Groups"))</f>
        <v>1</v>
      </c>
    </row>
    <row r="225" customFormat="false" ht="15" hidden="false" customHeight="true" outlineLevel="0" collapsed="false">
      <c r="A225" s="1" t="s">
        <v>125</v>
      </c>
      <c r="B225" s="1" t="s">
        <v>126</v>
      </c>
      <c r="C225" s="1" t="n">
        <v>2020</v>
      </c>
      <c r="D225" s="1" t="s">
        <v>113</v>
      </c>
      <c r="E225" s="1" t="s">
        <v>86</v>
      </c>
      <c r="F225" s="1" t="n">
        <v>58.58</v>
      </c>
      <c r="G225" s="1" t="n">
        <v>66.51</v>
      </c>
      <c r="H225" s="1" t="n">
        <v>62.3</v>
      </c>
      <c r="I225" s="1" t="n">
        <v>71.57</v>
      </c>
      <c r="J225" s="1" t="n">
        <v>64.74</v>
      </c>
      <c r="K225" s="1" t="n">
        <v>35.26</v>
      </c>
      <c r="L225" s="1" t="s">
        <v>38</v>
      </c>
      <c r="M225" s="1" t="n">
        <v>32091.49</v>
      </c>
      <c r="N225" s="1" t="str">
        <f aca="false">IF(K225&gt;65,"High Risk",IF(K225&gt;=40,"Medium Risk","Low Risk"))</f>
        <v>Low Risk</v>
      </c>
      <c r="O225" s="20" t="b">
        <f aca="false">AND(OR($D225=T1_Region,T1_Region="All Regions"),OR($E225=T1_Income,T1_Income="All Income Groups"))</f>
        <v>1</v>
      </c>
    </row>
    <row r="226" customFormat="false" ht="15" hidden="false" customHeight="true" outlineLevel="0" collapsed="false">
      <c r="A226" s="1" t="s">
        <v>125</v>
      </c>
      <c r="B226" s="1" t="s">
        <v>126</v>
      </c>
      <c r="C226" s="1" t="n">
        <v>2021</v>
      </c>
      <c r="D226" s="1" t="s">
        <v>113</v>
      </c>
      <c r="E226" s="1" t="s">
        <v>86</v>
      </c>
      <c r="F226" s="1" t="n">
        <v>58.77</v>
      </c>
      <c r="G226" s="1" t="n">
        <v>67.09</v>
      </c>
      <c r="H226" s="1" t="n">
        <v>63.91</v>
      </c>
      <c r="I226" s="1" t="n">
        <v>73.4</v>
      </c>
      <c r="J226" s="1" t="n">
        <v>65.79</v>
      </c>
      <c r="K226" s="1" t="n">
        <v>34.21</v>
      </c>
      <c r="L226" s="1" t="s">
        <v>38</v>
      </c>
      <c r="M226" s="1" t="n">
        <v>36852.54</v>
      </c>
      <c r="N226" s="1" t="str">
        <f aca="false">IF(K226&gt;65,"High Risk",IF(K226&gt;=40,"Medium Risk","Low Risk"))</f>
        <v>Low Risk</v>
      </c>
      <c r="O226" s="20" t="b">
        <f aca="false">AND(OR($D226=T1_Region,T1_Region="All Regions"),OR($E226=T1_Income,T1_Income="All Income Groups"))</f>
        <v>1</v>
      </c>
    </row>
    <row r="227" customFormat="false" ht="15" hidden="false" customHeight="true" outlineLevel="0" collapsed="false">
      <c r="A227" s="1" t="s">
        <v>125</v>
      </c>
      <c r="B227" s="1" t="s">
        <v>126</v>
      </c>
      <c r="C227" s="1" t="n">
        <v>2022</v>
      </c>
      <c r="D227" s="1" t="s">
        <v>113</v>
      </c>
      <c r="E227" s="1" t="s">
        <v>86</v>
      </c>
      <c r="F227" s="1" t="n">
        <v>59.47</v>
      </c>
      <c r="G227" s="1" t="n">
        <v>66.84</v>
      </c>
      <c r="H227" s="1" t="n">
        <v>64.34</v>
      </c>
      <c r="I227" s="1" t="n">
        <v>72.94</v>
      </c>
      <c r="J227" s="1" t="n">
        <v>65.9</v>
      </c>
      <c r="K227" s="1" t="n">
        <v>34.1</v>
      </c>
      <c r="L227" s="1" t="s">
        <v>38</v>
      </c>
      <c r="M227" s="1" t="n">
        <v>35653.9</v>
      </c>
      <c r="N227" s="1" t="str">
        <f aca="false">IF(K227&gt;65,"High Risk",IF(K227&gt;=40,"Medium Risk","Low Risk"))</f>
        <v>Low Risk</v>
      </c>
      <c r="O227" s="20" t="b">
        <f aca="false">AND(OR($D227=T1_Region,T1_Region="All Regions"),OR($E227=T1_Income,T1_Income="All Income Groups"))</f>
        <v>1</v>
      </c>
    </row>
    <row r="228" customFormat="false" ht="15" hidden="false" customHeight="true" outlineLevel="0" collapsed="false">
      <c r="A228" s="1" t="s">
        <v>125</v>
      </c>
      <c r="B228" s="1" t="s">
        <v>126</v>
      </c>
      <c r="C228" s="1" t="n">
        <v>2023</v>
      </c>
      <c r="D228" s="1" t="s">
        <v>113</v>
      </c>
      <c r="E228" s="1" t="s">
        <v>86</v>
      </c>
      <c r="F228" s="1" t="n">
        <v>59.42</v>
      </c>
      <c r="G228" s="1" t="n">
        <v>68.16</v>
      </c>
      <c r="H228" s="1" t="n">
        <v>65.84</v>
      </c>
      <c r="I228" s="1" t="n">
        <v>73.99</v>
      </c>
      <c r="J228" s="1" t="n">
        <v>66.85</v>
      </c>
      <c r="K228" s="1" t="n">
        <v>33.15</v>
      </c>
      <c r="L228" s="1" t="s">
        <v>38</v>
      </c>
      <c r="M228" s="1" t="n">
        <v>39279.7</v>
      </c>
      <c r="N228" s="1" t="str">
        <f aca="false">IF(K228&gt;65,"High Risk",IF(K228&gt;=40,"Medium Risk","Low Risk"))</f>
        <v>Low Risk</v>
      </c>
      <c r="O228" s="20" t="b">
        <f aca="false">AND(OR($D228=T1_Region,T1_Region="All Regions"),OR($E228=T1_Income,T1_Income="All Income Groups"))</f>
        <v>1</v>
      </c>
    </row>
    <row r="229" customFormat="false" ht="15" hidden="false" customHeight="true" outlineLevel="0" collapsed="false">
      <c r="A229" s="1" t="s">
        <v>125</v>
      </c>
      <c r="B229" s="1" t="s">
        <v>126</v>
      </c>
      <c r="C229" s="1" t="n">
        <v>2024</v>
      </c>
      <c r="D229" s="1" t="s">
        <v>113</v>
      </c>
      <c r="E229" s="1" t="s">
        <v>86</v>
      </c>
      <c r="F229" s="1" t="n">
        <v>59.05</v>
      </c>
      <c r="G229" s="1" t="n">
        <v>67.62</v>
      </c>
      <c r="H229" s="1" t="n">
        <v>64.96</v>
      </c>
      <c r="I229" s="1" t="n">
        <v>71.17</v>
      </c>
      <c r="J229" s="1" t="n">
        <v>65.7</v>
      </c>
      <c r="K229" s="1" t="n">
        <v>34.3</v>
      </c>
      <c r="L229" s="1" t="s">
        <v>38</v>
      </c>
      <c r="M229" s="1" t="n">
        <v>40429.62</v>
      </c>
      <c r="N229" s="1" t="str">
        <f aca="false">IF(K229&gt;65,"High Risk",IF(K229&gt;=40,"Medium Risk","Low Risk"))</f>
        <v>Low Risk</v>
      </c>
      <c r="O229" s="20" t="b">
        <f aca="false">AND(OR($D229=T1_Region,T1_Region="All Regions"),OR($E229=T1_Income,T1_Income="All Income Groups"))</f>
        <v>1</v>
      </c>
    </row>
    <row r="230" customFormat="false" ht="15" hidden="false" customHeight="true" outlineLevel="0" collapsed="false">
      <c r="A230" s="1" t="s">
        <v>127</v>
      </c>
      <c r="B230" s="1" t="s">
        <v>128</v>
      </c>
      <c r="C230" s="1" t="n">
        <v>2013</v>
      </c>
      <c r="D230" s="1" t="s">
        <v>85</v>
      </c>
      <c r="E230" s="1" t="s">
        <v>86</v>
      </c>
      <c r="F230" s="1" t="n">
        <v>78.18</v>
      </c>
      <c r="G230" s="1" t="n">
        <v>80.6</v>
      </c>
      <c r="H230" s="1" t="n">
        <v>76.3</v>
      </c>
      <c r="I230" s="1" t="n">
        <v>83.79</v>
      </c>
      <c r="J230" s="1" t="n">
        <v>79.72</v>
      </c>
      <c r="K230" s="1" t="n">
        <v>20.28</v>
      </c>
      <c r="L230" s="1" t="s">
        <v>38</v>
      </c>
      <c r="M230" s="1" t="n">
        <v>41369.19</v>
      </c>
      <c r="N230" s="1" t="str">
        <f aca="false">IF(K230&gt;65,"High Risk",IF(K230&gt;=40,"Medium Risk","Low Risk"))</f>
        <v>Low Risk</v>
      </c>
      <c r="O230" s="20" t="b">
        <f aca="false">AND(OR($D230=T1_Region,T1_Region="All Regions"),OR($E230=T1_Income,T1_Income="All Income Groups"))</f>
        <v>1</v>
      </c>
    </row>
    <row r="231" customFormat="false" ht="15" hidden="false" customHeight="true" outlineLevel="0" collapsed="false">
      <c r="A231" s="1" t="s">
        <v>127</v>
      </c>
      <c r="B231" s="1" t="s">
        <v>128</v>
      </c>
      <c r="C231" s="1" t="n">
        <v>2014</v>
      </c>
      <c r="D231" s="1" t="s">
        <v>85</v>
      </c>
      <c r="E231" s="1" t="s">
        <v>86</v>
      </c>
      <c r="F231" s="1" t="n">
        <v>79.01</v>
      </c>
      <c r="G231" s="1" t="n">
        <v>82.04</v>
      </c>
      <c r="H231" s="1" t="n">
        <v>75.36</v>
      </c>
      <c r="I231" s="1" t="n">
        <v>86.57</v>
      </c>
      <c r="J231" s="1" t="n">
        <v>80.74</v>
      </c>
      <c r="K231" s="1" t="n">
        <v>19.26</v>
      </c>
      <c r="L231" s="1" t="s">
        <v>38</v>
      </c>
      <c r="M231" s="1" t="n">
        <v>39172.85</v>
      </c>
      <c r="N231" s="1" t="str">
        <f aca="false">IF(K231&gt;65,"High Risk",IF(K231&gt;=40,"Medium Risk","Low Risk"))</f>
        <v>Low Risk</v>
      </c>
      <c r="O231" s="20" t="b">
        <f aca="false">AND(OR($D231=T1_Region,T1_Region="All Regions"),OR($E231=T1_Income,T1_Income="All Income Groups"))</f>
        <v>1</v>
      </c>
    </row>
    <row r="232" customFormat="false" ht="15" hidden="false" customHeight="true" outlineLevel="0" collapsed="false">
      <c r="A232" s="1" t="s">
        <v>127</v>
      </c>
      <c r="B232" s="1" t="s">
        <v>128</v>
      </c>
      <c r="C232" s="1" t="n">
        <v>2015</v>
      </c>
      <c r="D232" s="1" t="s">
        <v>85</v>
      </c>
      <c r="E232" s="1" t="s">
        <v>86</v>
      </c>
      <c r="F232" s="1" t="n">
        <v>77.22</v>
      </c>
      <c r="G232" s="1" t="n">
        <v>81.68</v>
      </c>
      <c r="H232" s="1" t="n">
        <v>77.12</v>
      </c>
      <c r="I232" s="1" t="n">
        <v>86.78</v>
      </c>
      <c r="J232" s="1" t="n">
        <v>80.7</v>
      </c>
      <c r="K232" s="1" t="n">
        <v>19.3</v>
      </c>
      <c r="L232" s="1" t="s">
        <v>38</v>
      </c>
      <c r="M232" s="1" t="n">
        <v>35664.64</v>
      </c>
      <c r="N232" s="1" t="str">
        <f aca="false">IF(K232&gt;65,"High Risk",IF(K232&gt;=40,"Medium Risk","Low Risk"))</f>
        <v>Low Risk</v>
      </c>
      <c r="O232" s="20" t="b">
        <f aca="false">AND(OR($D232=T1_Region,T1_Region="All Regions"),OR($E232=T1_Income,T1_Income="All Income Groups"))</f>
        <v>1</v>
      </c>
    </row>
    <row r="233" customFormat="false" ht="15" hidden="false" customHeight="true" outlineLevel="0" collapsed="false">
      <c r="A233" s="1" t="s">
        <v>127</v>
      </c>
      <c r="B233" s="1" t="s">
        <v>128</v>
      </c>
      <c r="C233" s="1" t="n">
        <v>2016</v>
      </c>
      <c r="D233" s="1" t="s">
        <v>85</v>
      </c>
      <c r="E233" s="1" t="s">
        <v>86</v>
      </c>
      <c r="F233" s="1" t="n">
        <v>77.11</v>
      </c>
      <c r="G233" s="1" t="n">
        <v>81.64</v>
      </c>
      <c r="H233" s="1" t="n">
        <v>78.97</v>
      </c>
      <c r="I233" s="1" t="n">
        <v>85.02</v>
      </c>
      <c r="J233" s="1" t="n">
        <v>80.69</v>
      </c>
      <c r="K233" s="1" t="n">
        <v>19.31</v>
      </c>
      <c r="L233" s="1" t="s">
        <v>38</v>
      </c>
      <c r="M233" s="1" t="n">
        <v>40214.97</v>
      </c>
      <c r="N233" s="1" t="str">
        <f aca="false">IF(K233&gt;65,"High Risk",IF(K233&gt;=40,"Medium Risk","Low Risk"))</f>
        <v>Low Risk</v>
      </c>
      <c r="O233" s="20" t="b">
        <f aca="false">AND(OR($D233=T1_Region,T1_Region="All Regions"),OR($E233=T1_Income,T1_Income="All Income Groups"))</f>
        <v>1</v>
      </c>
    </row>
    <row r="234" customFormat="false" ht="15" hidden="false" customHeight="true" outlineLevel="0" collapsed="false">
      <c r="A234" s="1" t="s">
        <v>127</v>
      </c>
      <c r="B234" s="1" t="s">
        <v>128</v>
      </c>
      <c r="C234" s="1" t="n">
        <v>2017</v>
      </c>
      <c r="D234" s="1" t="s">
        <v>85</v>
      </c>
      <c r="E234" s="1" t="s">
        <v>86</v>
      </c>
      <c r="F234" s="1" t="n">
        <v>77.73</v>
      </c>
      <c r="G234" s="1" t="n">
        <v>82.59</v>
      </c>
      <c r="H234" s="1" t="n">
        <v>76.92</v>
      </c>
      <c r="I234" s="1" t="n">
        <v>85.87</v>
      </c>
      <c r="J234" s="1" t="n">
        <v>80.78</v>
      </c>
      <c r="K234" s="1" t="n">
        <v>19.22</v>
      </c>
      <c r="L234" s="1" t="s">
        <v>38</v>
      </c>
      <c r="M234" s="1" t="n">
        <v>39679.86</v>
      </c>
      <c r="N234" s="1" t="str">
        <f aca="false">IF(K234&gt;65,"High Risk",IF(K234&gt;=40,"Medium Risk","Low Risk"))</f>
        <v>Low Risk</v>
      </c>
      <c r="O234" s="20" t="b">
        <f aca="false">AND(OR($D234=T1_Region,T1_Region="All Regions"),OR($E234=T1_Income,T1_Income="All Income Groups"))</f>
        <v>1</v>
      </c>
    </row>
    <row r="235" customFormat="false" ht="15" hidden="false" customHeight="true" outlineLevel="0" collapsed="false">
      <c r="A235" s="1" t="s">
        <v>127</v>
      </c>
      <c r="B235" s="1" t="s">
        <v>128</v>
      </c>
      <c r="C235" s="1" t="n">
        <v>2018</v>
      </c>
      <c r="D235" s="1" t="s">
        <v>85</v>
      </c>
      <c r="E235" s="1" t="s">
        <v>86</v>
      </c>
      <c r="F235" s="1" t="n">
        <v>76.01</v>
      </c>
      <c r="G235" s="1" t="n">
        <v>82.56</v>
      </c>
      <c r="H235" s="1" t="n">
        <v>76.38</v>
      </c>
      <c r="I235" s="1" t="n">
        <v>85.33</v>
      </c>
      <c r="J235" s="1" t="n">
        <v>80.07</v>
      </c>
      <c r="K235" s="1" t="n">
        <v>19.93</v>
      </c>
      <c r="L235" s="1" t="s">
        <v>38</v>
      </c>
      <c r="M235" s="1" t="n">
        <v>40645.48</v>
      </c>
      <c r="N235" s="1" t="str">
        <f aca="false">IF(K235&gt;65,"High Risk",IF(K235&gt;=40,"Medium Risk","Low Risk"))</f>
        <v>Low Risk</v>
      </c>
      <c r="O235" s="20" t="b">
        <f aca="false">AND(OR($D235=T1_Region,T1_Region="All Regions"),OR($E235=T1_Income,T1_Income="All Income Groups"))</f>
        <v>1</v>
      </c>
    </row>
    <row r="236" customFormat="false" ht="15" hidden="false" customHeight="true" outlineLevel="0" collapsed="false">
      <c r="A236" s="1" t="s">
        <v>127</v>
      </c>
      <c r="B236" s="1" t="s">
        <v>128</v>
      </c>
      <c r="C236" s="1" t="n">
        <v>2019</v>
      </c>
      <c r="D236" s="1" t="s">
        <v>85</v>
      </c>
      <c r="E236" s="1" t="s">
        <v>86</v>
      </c>
      <c r="F236" s="1" t="n">
        <v>76.87</v>
      </c>
      <c r="G236" s="1" t="n">
        <v>82.99</v>
      </c>
      <c r="H236" s="1" t="n">
        <v>76.76</v>
      </c>
      <c r="I236" s="1" t="n">
        <v>84.96</v>
      </c>
      <c r="J236" s="1" t="n">
        <v>80.4</v>
      </c>
      <c r="K236" s="1" t="n">
        <v>19.6</v>
      </c>
      <c r="L236" s="1" t="s">
        <v>38</v>
      </c>
      <c r="M236" s="1" t="n">
        <v>41424.87</v>
      </c>
      <c r="N236" s="1" t="str">
        <f aca="false">IF(K236&gt;65,"High Risk",IF(K236&gt;=40,"Medium Risk","Low Risk"))</f>
        <v>Low Risk</v>
      </c>
      <c r="O236" s="20" t="b">
        <f aca="false">AND(OR($D236=T1_Region,T1_Region="All Regions"),OR($E236=T1_Income,T1_Income="All Income Groups"))</f>
        <v>1</v>
      </c>
    </row>
    <row r="237" customFormat="false" ht="15" hidden="false" customHeight="true" outlineLevel="0" collapsed="false">
      <c r="A237" s="1" t="s">
        <v>127</v>
      </c>
      <c r="B237" s="1" t="s">
        <v>128</v>
      </c>
      <c r="C237" s="1" t="n">
        <v>2020</v>
      </c>
      <c r="D237" s="1" t="s">
        <v>85</v>
      </c>
      <c r="E237" s="1" t="s">
        <v>86</v>
      </c>
      <c r="F237" s="1" t="n">
        <v>76.8</v>
      </c>
      <c r="G237" s="1" t="n">
        <v>83.02</v>
      </c>
      <c r="H237" s="1" t="n">
        <v>76.43</v>
      </c>
      <c r="I237" s="1" t="n">
        <v>85.24</v>
      </c>
      <c r="J237" s="1" t="n">
        <v>80.37</v>
      </c>
      <c r="K237" s="1" t="n">
        <v>19.63</v>
      </c>
      <c r="L237" s="1" t="s">
        <v>38</v>
      </c>
      <c r="M237" s="1" t="n">
        <v>41098.97</v>
      </c>
      <c r="N237" s="1" t="str">
        <f aca="false">IF(K237&gt;65,"High Risk",IF(K237&gt;=40,"Medium Risk","Low Risk"))</f>
        <v>Low Risk</v>
      </c>
      <c r="O237" s="20" t="b">
        <f aca="false">AND(OR($D237=T1_Region,T1_Region="All Regions"),OR($E237=T1_Income,T1_Income="All Income Groups"))</f>
        <v>1</v>
      </c>
    </row>
    <row r="238" customFormat="false" ht="15" hidden="false" customHeight="true" outlineLevel="0" collapsed="false">
      <c r="A238" s="1" t="s">
        <v>127</v>
      </c>
      <c r="B238" s="1" t="s">
        <v>128</v>
      </c>
      <c r="C238" s="1" t="n">
        <v>2021</v>
      </c>
      <c r="D238" s="1" t="s">
        <v>85</v>
      </c>
      <c r="E238" s="1" t="s">
        <v>86</v>
      </c>
      <c r="F238" s="1" t="n">
        <v>77.31</v>
      </c>
      <c r="G238" s="1" t="n">
        <v>83.33</v>
      </c>
      <c r="H238" s="1" t="n">
        <v>76.87</v>
      </c>
      <c r="I238" s="1" t="n">
        <v>85.71</v>
      </c>
      <c r="J238" s="1" t="n">
        <v>80.81</v>
      </c>
      <c r="K238" s="1" t="n">
        <v>19.19</v>
      </c>
      <c r="L238" s="1" t="s">
        <v>38</v>
      </c>
      <c r="M238" s="1" t="n">
        <v>41580.74</v>
      </c>
      <c r="N238" s="1" t="str">
        <f aca="false">IF(K238&gt;65,"High Risk",IF(K238&gt;=40,"Medium Risk","Low Risk"))</f>
        <v>Low Risk</v>
      </c>
      <c r="O238" s="20" t="b">
        <f aca="false">AND(OR($D238=T1_Region,T1_Region="All Regions"),OR($E238=T1_Income,T1_Income="All Income Groups"))</f>
        <v>1</v>
      </c>
    </row>
    <row r="239" customFormat="false" ht="15" hidden="false" customHeight="true" outlineLevel="0" collapsed="false">
      <c r="A239" s="1" t="s">
        <v>127</v>
      </c>
      <c r="B239" s="1" t="s">
        <v>128</v>
      </c>
      <c r="C239" s="1" t="n">
        <v>2022</v>
      </c>
      <c r="D239" s="1" t="s">
        <v>85</v>
      </c>
      <c r="E239" s="1" t="s">
        <v>86</v>
      </c>
      <c r="F239" s="1" t="n">
        <v>77.04</v>
      </c>
      <c r="G239" s="1" t="n">
        <v>82.93</v>
      </c>
      <c r="H239" s="1" t="n">
        <v>77.11</v>
      </c>
      <c r="I239" s="1" t="n">
        <v>87.69</v>
      </c>
      <c r="J239" s="1" t="n">
        <v>81.19</v>
      </c>
      <c r="K239" s="1" t="n">
        <v>18.81</v>
      </c>
      <c r="L239" s="1" t="s">
        <v>38</v>
      </c>
      <c r="M239" s="1" t="n">
        <v>35548.26</v>
      </c>
      <c r="N239" s="1" t="str">
        <f aca="false">IF(K239&gt;65,"High Risk",IF(K239&gt;=40,"Medium Risk","Low Risk"))</f>
        <v>Low Risk</v>
      </c>
      <c r="O239" s="20" t="b">
        <f aca="false">AND(OR($D239=T1_Region,T1_Region="All Regions"),OR($E239=T1_Income,T1_Income="All Income Groups"))</f>
        <v>1</v>
      </c>
    </row>
    <row r="240" customFormat="false" ht="15" hidden="false" customHeight="true" outlineLevel="0" collapsed="false">
      <c r="A240" s="1" t="s">
        <v>127</v>
      </c>
      <c r="B240" s="1" t="s">
        <v>128</v>
      </c>
      <c r="C240" s="1" t="n">
        <v>2023</v>
      </c>
      <c r="D240" s="1" t="s">
        <v>85</v>
      </c>
      <c r="E240" s="1" t="s">
        <v>86</v>
      </c>
      <c r="F240" s="1" t="n">
        <v>74.93</v>
      </c>
      <c r="G240" s="1" t="n">
        <v>82.93</v>
      </c>
      <c r="H240" s="1" t="n">
        <v>76.91</v>
      </c>
      <c r="I240" s="1" t="n">
        <v>87.54</v>
      </c>
      <c r="J240" s="1" t="n">
        <v>80.58</v>
      </c>
      <c r="K240" s="1" t="n">
        <v>19.42</v>
      </c>
      <c r="L240" s="1" t="s">
        <v>38</v>
      </c>
      <c r="M240" s="1" t="n">
        <v>35215</v>
      </c>
      <c r="N240" s="1" t="str">
        <f aca="false">IF(K240&gt;65,"High Risk",IF(K240&gt;=40,"Medium Risk","Low Risk"))</f>
        <v>Low Risk</v>
      </c>
      <c r="O240" s="20" t="b">
        <f aca="false">AND(OR($D240=T1_Region,T1_Region="All Regions"),OR($E240=T1_Income,T1_Income="All Income Groups"))</f>
        <v>1</v>
      </c>
    </row>
    <row r="241" customFormat="false" ht="15" hidden="false" customHeight="true" outlineLevel="0" collapsed="false">
      <c r="A241" s="1" t="s">
        <v>127</v>
      </c>
      <c r="B241" s="1" t="s">
        <v>128</v>
      </c>
      <c r="C241" s="1" t="n">
        <v>2024</v>
      </c>
      <c r="D241" s="1" t="s">
        <v>85</v>
      </c>
      <c r="E241" s="1" t="s">
        <v>86</v>
      </c>
      <c r="F241" s="1" t="n">
        <v>75.32</v>
      </c>
      <c r="G241" s="1" t="n">
        <v>82.98</v>
      </c>
      <c r="H241" s="1" t="n">
        <v>75.83</v>
      </c>
      <c r="I241" s="1" t="n">
        <v>85.27</v>
      </c>
      <c r="J241" s="1" t="n">
        <v>79.85</v>
      </c>
      <c r="K241" s="1" t="n">
        <v>20.15</v>
      </c>
      <c r="L241" s="1" t="s">
        <v>38</v>
      </c>
      <c r="M241" s="1" t="n">
        <v>33797.1</v>
      </c>
      <c r="N241" s="1" t="str">
        <f aca="false">IF(K241&gt;65,"High Risk",IF(K241&gt;=40,"Medium Risk","Low Risk"))</f>
        <v>Low Risk</v>
      </c>
      <c r="O241" s="20" t="b">
        <f aca="false">AND(OR($D241=T1_Region,T1_Region="All Regions"),OR($E241=T1_Income,T1_Income="All Income Groups"))</f>
        <v>1</v>
      </c>
    </row>
    <row r="242" customFormat="false" ht="15" hidden="false" customHeight="true" outlineLevel="0" collapsed="false">
      <c r="A242" s="1" t="s">
        <v>129</v>
      </c>
      <c r="B242" s="1" t="s">
        <v>130</v>
      </c>
      <c r="C242" s="1" t="n">
        <v>2013</v>
      </c>
      <c r="D242" s="1" t="s">
        <v>113</v>
      </c>
      <c r="E242" s="1" t="s">
        <v>82</v>
      </c>
      <c r="F242" s="1" t="n">
        <v>29.06</v>
      </c>
      <c r="G242" s="1" t="n">
        <v>45.26</v>
      </c>
      <c r="H242" s="1" t="n">
        <v>49.54</v>
      </c>
      <c r="I242" s="1" t="n">
        <v>58.18</v>
      </c>
      <c r="J242" s="1" t="n">
        <v>45.51</v>
      </c>
      <c r="K242" s="1" t="n">
        <v>54.49</v>
      </c>
      <c r="L242" s="1" t="s">
        <v>37</v>
      </c>
      <c r="M242" s="1" t="n">
        <v>13478.46</v>
      </c>
      <c r="N242" s="1" t="str">
        <f aca="false">IF(K242&gt;65,"High Risk",IF(K242&gt;=40,"Medium Risk","Low Risk"))</f>
        <v>Medium Risk</v>
      </c>
      <c r="O242" s="20" t="b">
        <f aca="false">AND(OR($D242=T1_Region,T1_Region="All Regions"),OR($E242=T1_Income,T1_Income="All Income Groups"))</f>
        <v>1</v>
      </c>
    </row>
    <row r="243" customFormat="false" ht="15" hidden="false" customHeight="true" outlineLevel="0" collapsed="false">
      <c r="A243" s="1" t="s">
        <v>129</v>
      </c>
      <c r="B243" s="1" t="s">
        <v>130</v>
      </c>
      <c r="C243" s="1" t="n">
        <v>2014</v>
      </c>
      <c r="D243" s="1" t="s">
        <v>113</v>
      </c>
      <c r="E243" s="1" t="s">
        <v>82</v>
      </c>
      <c r="F243" s="1" t="n">
        <v>30.8</v>
      </c>
      <c r="G243" s="1" t="n">
        <v>46.68</v>
      </c>
      <c r="H243" s="1" t="n">
        <v>52.52</v>
      </c>
      <c r="I243" s="1" t="n">
        <v>66.4</v>
      </c>
      <c r="J243" s="1" t="n">
        <v>49.1</v>
      </c>
      <c r="K243" s="1" t="n">
        <v>50.9</v>
      </c>
      <c r="L243" s="1" t="s">
        <v>37</v>
      </c>
      <c r="M243" s="1" t="n">
        <v>12427.71</v>
      </c>
      <c r="N243" s="1" t="str">
        <f aca="false">IF(K243&gt;65,"High Risk",IF(K243&gt;=40,"Medium Risk","Low Risk"))</f>
        <v>Medium Risk</v>
      </c>
      <c r="O243" s="20" t="b">
        <f aca="false">AND(OR($D243=T1_Region,T1_Region="All Regions"),OR($E243=T1_Income,T1_Income="All Income Groups"))</f>
        <v>1</v>
      </c>
    </row>
    <row r="244" customFormat="false" ht="15" hidden="false" customHeight="true" outlineLevel="0" collapsed="false">
      <c r="A244" s="1" t="s">
        <v>129</v>
      </c>
      <c r="B244" s="1" t="s">
        <v>130</v>
      </c>
      <c r="C244" s="1" t="n">
        <v>2015</v>
      </c>
      <c r="D244" s="1" t="s">
        <v>113</v>
      </c>
      <c r="E244" s="1" t="s">
        <v>82</v>
      </c>
      <c r="F244" s="1" t="n">
        <v>30.98</v>
      </c>
      <c r="G244" s="1" t="n">
        <v>48.5</v>
      </c>
      <c r="H244" s="1" t="n">
        <v>53.74</v>
      </c>
      <c r="I244" s="1" t="n">
        <v>66.48</v>
      </c>
      <c r="J244" s="1" t="n">
        <v>49.92</v>
      </c>
      <c r="K244" s="1" t="n">
        <v>50.08</v>
      </c>
      <c r="L244" s="1" t="s">
        <v>37</v>
      </c>
      <c r="M244" s="1" t="n">
        <v>10196.12</v>
      </c>
      <c r="N244" s="1" t="str">
        <f aca="false">IF(K244&gt;65,"High Risk",IF(K244&gt;=40,"Medium Risk","Low Risk"))</f>
        <v>Medium Risk</v>
      </c>
      <c r="O244" s="20" t="b">
        <f aca="false">AND(OR($D244=T1_Region,T1_Region="All Regions"),OR($E244=T1_Income,T1_Income="All Income Groups"))</f>
        <v>1</v>
      </c>
    </row>
    <row r="245" customFormat="false" ht="15" hidden="false" customHeight="true" outlineLevel="0" collapsed="false">
      <c r="A245" s="1" t="s">
        <v>129</v>
      </c>
      <c r="B245" s="1" t="s">
        <v>130</v>
      </c>
      <c r="C245" s="1" t="n">
        <v>2016</v>
      </c>
      <c r="D245" s="1" t="s">
        <v>113</v>
      </c>
      <c r="E245" s="1" t="s">
        <v>82</v>
      </c>
      <c r="F245" s="1" t="n">
        <v>31.93</v>
      </c>
      <c r="G245" s="1" t="n">
        <v>48.17</v>
      </c>
      <c r="H245" s="1" t="n">
        <v>52.73</v>
      </c>
      <c r="I245" s="1" t="n">
        <v>64.42</v>
      </c>
      <c r="J245" s="1" t="n">
        <v>49.31</v>
      </c>
      <c r="K245" s="1" t="n">
        <v>50.69</v>
      </c>
      <c r="L245" s="1" t="s">
        <v>37</v>
      </c>
      <c r="M245" s="1" t="n">
        <v>7475.57</v>
      </c>
      <c r="N245" s="1" t="str">
        <f aca="false">IF(K245&gt;65,"High Risk",IF(K245&gt;=40,"Medium Risk","Low Risk"))</f>
        <v>Medium Risk</v>
      </c>
      <c r="O245" s="20" t="b">
        <f aca="false">AND(OR($D245=T1_Region,T1_Region="All Regions"),OR($E245=T1_Income,T1_Income="All Income Groups"))</f>
        <v>1</v>
      </c>
    </row>
    <row r="246" customFormat="false" ht="15" hidden="false" customHeight="true" outlineLevel="0" collapsed="false">
      <c r="A246" s="1" t="s">
        <v>129</v>
      </c>
      <c r="B246" s="1" t="s">
        <v>130</v>
      </c>
      <c r="C246" s="1" t="n">
        <v>2017</v>
      </c>
      <c r="D246" s="1" t="s">
        <v>113</v>
      </c>
      <c r="E246" s="1" t="s">
        <v>82</v>
      </c>
      <c r="F246" s="1" t="n">
        <v>32.82</v>
      </c>
      <c r="G246" s="1" t="n">
        <v>49.02</v>
      </c>
      <c r="H246" s="1" t="n">
        <v>56.18</v>
      </c>
      <c r="I246" s="1" t="n">
        <v>64.93</v>
      </c>
      <c r="J246" s="1" t="n">
        <v>50.74</v>
      </c>
      <c r="K246" s="1" t="n">
        <v>49.26</v>
      </c>
      <c r="L246" s="1" t="s">
        <v>37</v>
      </c>
      <c r="M246" s="1" t="n">
        <v>8943.08</v>
      </c>
      <c r="N246" s="1" t="str">
        <f aca="false">IF(K246&gt;65,"High Risk",IF(K246&gt;=40,"Medium Risk","Low Risk"))</f>
        <v>Medium Risk</v>
      </c>
      <c r="O246" s="20" t="b">
        <f aca="false">AND(OR($D246=T1_Region,T1_Region="All Regions"),OR($E246=T1_Income,T1_Income="All Income Groups"))</f>
        <v>1</v>
      </c>
    </row>
    <row r="247" customFormat="false" ht="15" hidden="false" customHeight="true" outlineLevel="0" collapsed="false">
      <c r="A247" s="1" t="s">
        <v>129</v>
      </c>
      <c r="B247" s="1" t="s">
        <v>130</v>
      </c>
      <c r="C247" s="1" t="n">
        <v>2018</v>
      </c>
      <c r="D247" s="1" t="s">
        <v>113</v>
      </c>
      <c r="E247" s="1" t="s">
        <v>82</v>
      </c>
      <c r="F247" s="1" t="n">
        <v>37.64</v>
      </c>
      <c r="G247" s="1" t="n">
        <v>50.59</v>
      </c>
      <c r="H247" s="1" t="n">
        <v>55.73</v>
      </c>
      <c r="I247" s="1" t="n">
        <v>64.04</v>
      </c>
      <c r="J247" s="1" t="n">
        <v>52</v>
      </c>
      <c r="K247" s="1" t="n">
        <v>48</v>
      </c>
      <c r="L247" s="1" t="s">
        <v>37</v>
      </c>
      <c r="M247" s="1" t="n">
        <v>9472.49</v>
      </c>
      <c r="N247" s="1" t="str">
        <f aca="false">IF(K247&gt;65,"High Risk",IF(K247&gt;=40,"Medium Risk","Low Risk"))</f>
        <v>Medium Risk</v>
      </c>
      <c r="O247" s="20" t="b">
        <f aca="false">AND(OR($D247=T1_Region,T1_Region="All Regions"),OR($E247=T1_Income,T1_Income="All Income Groups"))</f>
        <v>1</v>
      </c>
    </row>
    <row r="248" customFormat="false" ht="15" hidden="false" customHeight="true" outlineLevel="0" collapsed="false">
      <c r="A248" s="1" t="s">
        <v>129</v>
      </c>
      <c r="B248" s="1" t="s">
        <v>130</v>
      </c>
      <c r="C248" s="1" t="n">
        <v>2019</v>
      </c>
      <c r="D248" s="1" t="s">
        <v>113</v>
      </c>
      <c r="E248" s="1" t="s">
        <v>82</v>
      </c>
      <c r="F248" s="1" t="n">
        <v>43.66</v>
      </c>
      <c r="G248" s="1" t="n">
        <v>49.55</v>
      </c>
      <c r="H248" s="1" t="n">
        <v>56.64</v>
      </c>
      <c r="I248" s="1" t="n">
        <v>62.12</v>
      </c>
      <c r="J248" s="1" t="n">
        <v>52.99</v>
      </c>
      <c r="K248" s="1" t="n">
        <v>47.01</v>
      </c>
      <c r="L248" s="1" t="s">
        <v>37</v>
      </c>
      <c r="M248" s="1" t="n">
        <v>9457.13</v>
      </c>
      <c r="N248" s="1" t="str">
        <f aca="false">IF(K248&gt;65,"High Risk",IF(K248&gt;=40,"Medium Risk","Low Risk"))</f>
        <v>Medium Risk</v>
      </c>
      <c r="O248" s="20" t="b">
        <f aca="false">AND(OR($D248=T1_Region,T1_Region="All Regions"),OR($E248=T1_Income,T1_Income="All Income Groups"))</f>
        <v>1</v>
      </c>
    </row>
    <row r="249" customFormat="false" ht="15" hidden="false" customHeight="true" outlineLevel="0" collapsed="false">
      <c r="A249" s="1" t="s">
        <v>129</v>
      </c>
      <c r="B249" s="1" t="s">
        <v>130</v>
      </c>
      <c r="C249" s="1" t="n">
        <v>2020</v>
      </c>
      <c r="D249" s="1" t="s">
        <v>113</v>
      </c>
      <c r="E249" s="1" t="s">
        <v>82</v>
      </c>
      <c r="F249" s="1" t="n">
        <v>42.02</v>
      </c>
      <c r="G249" s="1" t="n">
        <v>49.81</v>
      </c>
      <c r="H249" s="1" t="n">
        <v>55.71</v>
      </c>
      <c r="I249" s="1" t="n">
        <v>61.04</v>
      </c>
      <c r="J249" s="1" t="n">
        <v>52.15</v>
      </c>
      <c r="K249" s="1" t="n">
        <v>47.85</v>
      </c>
      <c r="L249" s="1" t="s">
        <v>37</v>
      </c>
      <c r="M249" s="1" t="n">
        <v>8781.51</v>
      </c>
      <c r="N249" s="1" t="str">
        <f aca="false">IF(K249&gt;65,"High Risk",IF(K249&gt;=40,"Medium Risk","Low Risk"))</f>
        <v>Medium Risk</v>
      </c>
      <c r="O249" s="20" t="b">
        <f aca="false">AND(OR($D249=T1_Region,T1_Region="All Regions"),OR($E249=T1_Income,T1_Income="All Income Groups"))</f>
        <v>1</v>
      </c>
    </row>
    <row r="250" customFormat="false" ht="15" hidden="false" customHeight="true" outlineLevel="0" collapsed="false">
      <c r="A250" s="1" t="s">
        <v>129</v>
      </c>
      <c r="B250" s="1" t="s">
        <v>130</v>
      </c>
      <c r="C250" s="1" t="n">
        <v>2021</v>
      </c>
      <c r="D250" s="1" t="s">
        <v>113</v>
      </c>
      <c r="E250" s="1" t="s">
        <v>82</v>
      </c>
      <c r="F250" s="1" t="n">
        <v>42.39</v>
      </c>
      <c r="G250" s="1" t="n">
        <v>48.95</v>
      </c>
      <c r="H250" s="1" t="n">
        <v>55.07</v>
      </c>
      <c r="I250" s="1" t="n">
        <v>61.92</v>
      </c>
      <c r="J250" s="1" t="n">
        <v>52.08</v>
      </c>
      <c r="K250" s="1" t="n">
        <v>47.92</v>
      </c>
      <c r="L250" s="1" t="s">
        <v>37</v>
      </c>
      <c r="M250" s="1" t="n">
        <v>9983.6</v>
      </c>
      <c r="N250" s="1" t="str">
        <f aca="false">IF(K250&gt;65,"High Risk",IF(K250&gt;=40,"Medium Risk","Low Risk"))</f>
        <v>Medium Risk</v>
      </c>
      <c r="O250" s="20" t="b">
        <f aca="false">AND(OR($D250=T1_Region,T1_Region="All Regions"),OR($E250=T1_Income,T1_Income="All Income Groups"))</f>
        <v>1</v>
      </c>
    </row>
    <row r="251" customFormat="false" ht="15" hidden="false" customHeight="true" outlineLevel="0" collapsed="false">
      <c r="A251" s="1" t="s">
        <v>129</v>
      </c>
      <c r="B251" s="1" t="s">
        <v>130</v>
      </c>
      <c r="C251" s="1" t="n">
        <v>2022</v>
      </c>
      <c r="D251" s="1" t="s">
        <v>113</v>
      </c>
      <c r="E251" s="1" t="s">
        <v>82</v>
      </c>
      <c r="F251" s="1" t="n">
        <v>43.97</v>
      </c>
      <c r="G251" s="1" t="n">
        <v>49.38</v>
      </c>
      <c r="H251" s="1" t="n">
        <v>53.85</v>
      </c>
      <c r="I251" s="1" t="n">
        <v>55.99</v>
      </c>
      <c r="J251" s="1" t="n">
        <v>50.8</v>
      </c>
      <c r="K251" s="1" t="n">
        <v>49.2</v>
      </c>
      <c r="L251" s="1" t="s">
        <v>37</v>
      </c>
      <c r="M251" s="1" t="n">
        <v>11255.34</v>
      </c>
      <c r="N251" s="1" t="str">
        <f aca="false">IF(K251&gt;65,"High Risk",IF(K251&gt;=40,"Medium Risk","Low Risk"))</f>
        <v>Medium Risk</v>
      </c>
      <c r="O251" s="20" t="b">
        <f aca="false">AND(OR($D251=T1_Region,T1_Region="All Regions"),OR($E251=T1_Income,T1_Income="All Income Groups"))</f>
        <v>1</v>
      </c>
    </row>
    <row r="252" customFormat="false" ht="15" hidden="false" customHeight="true" outlineLevel="0" collapsed="false">
      <c r="A252" s="1" t="s">
        <v>129</v>
      </c>
      <c r="B252" s="1" t="s">
        <v>130</v>
      </c>
      <c r="C252" s="1" t="n">
        <v>2023</v>
      </c>
      <c r="D252" s="1" t="s">
        <v>113</v>
      </c>
      <c r="E252" s="1" t="s">
        <v>82</v>
      </c>
      <c r="F252" s="1" t="n">
        <v>43.35</v>
      </c>
      <c r="G252" s="1" t="n">
        <v>50.46</v>
      </c>
      <c r="H252" s="1" t="n">
        <v>54.95</v>
      </c>
      <c r="I252" s="1" t="n">
        <v>62.44</v>
      </c>
      <c r="J252" s="1" t="n">
        <v>52.8</v>
      </c>
      <c r="K252" s="1" t="n">
        <v>47.2</v>
      </c>
      <c r="L252" s="1" t="s">
        <v>37</v>
      </c>
      <c r="M252" s="1" t="n">
        <v>12879.43</v>
      </c>
      <c r="N252" s="1" t="str">
        <f aca="false">IF(K252&gt;65,"High Risk",IF(K252&gt;=40,"Medium Risk","Low Risk"))</f>
        <v>Medium Risk</v>
      </c>
      <c r="O252" s="20" t="b">
        <f aca="false">AND(OR($D252=T1_Region,T1_Region="All Regions"),OR($E252=T1_Income,T1_Income="All Income Groups"))</f>
        <v>1</v>
      </c>
    </row>
    <row r="253" customFormat="false" ht="15" hidden="false" customHeight="true" outlineLevel="0" collapsed="false">
      <c r="A253" s="1" t="s">
        <v>129</v>
      </c>
      <c r="B253" s="1" t="s">
        <v>130</v>
      </c>
      <c r="C253" s="1" t="n">
        <v>2024</v>
      </c>
      <c r="D253" s="1" t="s">
        <v>113</v>
      </c>
      <c r="E253" s="1" t="s">
        <v>82</v>
      </c>
      <c r="F253" s="1" t="n">
        <v>46.5</v>
      </c>
      <c r="G253" s="1" t="n">
        <v>50.4</v>
      </c>
      <c r="H253" s="1" t="n">
        <v>55.6</v>
      </c>
      <c r="I253" s="1" t="n">
        <v>61.06</v>
      </c>
      <c r="J253" s="1" t="n">
        <v>53.39</v>
      </c>
      <c r="K253" s="1" t="n">
        <v>46.61</v>
      </c>
      <c r="L253" s="1" t="s">
        <v>37</v>
      </c>
      <c r="M253" s="1" t="n">
        <v>14154.63</v>
      </c>
      <c r="N253" s="1" t="str">
        <f aca="false">IF(K253&gt;65,"High Risk",IF(K253&gt;=40,"Medium Risk","Low Risk"))</f>
        <v>Medium Risk</v>
      </c>
      <c r="O253" s="20" t="b">
        <f aca="false">AND(OR($D253=T1_Region,T1_Region="All Regions"),OR($E253=T1_Income,T1_Income="All Income Groups"))</f>
        <v>1</v>
      </c>
    </row>
    <row r="254" customFormat="false" ht="15" hidden="false" customHeight="true" outlineLevel="0" collapsed="false">
      <c r="A254" s="1" t="s">
        <v>131</v>
      </c>
      <c r="B254" s="1" t="s">
        <v>132</v>
      </c>
      <c r="C254" s="1" t="n">
        <v>2013</v>
      </c>
      <c r="D254" s="1" t="s">
        <v>104</v>
      </c>
      <c r="E254" s="1" t="s">
        <v>90</v>
      </c>
      <c r="F254" s="1" t="n">
        <v>28.94</v>
      </c>
      <c r="G254" s="1" t="n">
        <v>44.22</v>
      </c>
      <c r="H254" s="1" t="n">
        <v>46.88</v>
      </c>
      <c r="I254" s="1" t="n">
        <v>45.96</v>
      </c>
      <c r="J254" s="1" t="n">
        <v>41.5</v>
      </c>
      <c r="K254" s="1" t="n">
        <v>58.5</v>
      </c>
      <c r="L254" s="1" t="s">
        <v>37</v>
      </c>
      <c r="M254" s="1" t="n">
        <v>1370.88</v>
      </c>
      <c r="N254" s="1" t="str">
        <f aca="false">IF(K254&gt;65,"High Risk",IF(K254&gt;=40,"Medium Risk","Low Risk"))</f>
        <v>Medium Risk</v>
      </c>
      <c r="O254" s="20" t="b">
        <f aca="false">AND(OR($D254=T1_Region,T1_Region="All Regions"),OR($E254=T1_Income,T1_Income="All Income Groups"))</f>
        <v>1</v>
      </c>
    </row>
    <row r="255" customFormat="false" ht="15" hidden="false" customHeight="true" outlineLevel="0" collapsed="false">
      <c r="A255" s="1" t="s">
        <v>131</v>
      </c>
      <c r="B255" s="1" t="s">
        <v>132</v>
      </c>
      <c r="C255" s="1" t="n">
        <v>2014</v>
      </c>
      <c r="D255" s="1" t="s">
        <v>104</v>
      </c>
      <c r="E255" s="1" t="s">
        <v>90</v>
      </c>
      <c r="F255" s="1" t="n">
        <v>30.97</v>
      </c>
      <c r="G255" s="1" t="n">
        <v>47.48</v>
      </c>
      <c r="H255" s="1" t="n">
        <v>49.72</v>
      </c>
      <c r="I255" s="1" t="n">
        <v>44.32</v>
      </c>
      <c r="J255" s="1" t="n">
        <v>43.12</v>
      </c>
      <c r="K255" s="1" t="n">
        <v>56.88</v>
      </c>
      <c r="L255" s="1" t="s">
        <v>37</v>
      </c>
      <c r="M255" s="1" t="n">
        <v>1482.82</v>
      </c>
      <c r="N255" s="1" t="str">
        <f aca="false">IF(K255&gt;65,"High Risk",IF(K255&gt;=40,"Medium Risk","Low Risk"))</f>
        <v>Medium Risk</v>
      </c>
      <c r="O255" s="20" t="b">
        <f aca="false">AND(OR($D255=T1_Region,T1_Region="All Regions"),OR($E255=T1_Income,T1_Income="All Income Groups"))</f>
        <v>1</v>
      </c>
    </row>
    <row r="256" customFormat="false" ht="15" hidden="false" customHeight="true" outlineLevel="0" collapsed="false">
      <c r="A256" s="1" t="s">
        <v>131</v>
      </c>
      <c r="B256" s="1" t="s">
        <v>132</v>
      </c>
      <c r="C256" s="1" t="n">
        <v>2015</v>
      </c>
      <c r="D256" s="1" t="s">
        <v>104</v>
      </c>
      <c r="E256" s="1" t="s">
        <v>90</v>
      </c>
      <c r="F256" s="1" t="n">
        <v>28.2</v>
      </c>
      <c r="G256" s="1" t="n">
        <v>45.91</v>
      </c>
      <c r="H256" s="1" t="n">
        <v>50.3</v>
      </c>
      <c r="I256" s="1" t="n">
        <v>44.87</v>
      </c>
      <c r="J256" s="1" t="n">
        <v>42.32</v>
      </c>
      <c r="K256" s="1" t="n">
        <v>57.68</v>
      </c>
      <c r="L256" s="1" t="s">
        <v>37</v>
      </c>
      <c r="M256" s="1" t="n">
        <v>1489.12</v>
      </c>
      <c r="N256" s="1" t="str">
        <f aca="false">IF(K256&gt;65,"High Risk",IF(K256&gt;=40,"Medium Risk","Low Risk"))</f>
        <v>Medium Risk</v>
      </c>
      <c r="O256" s="20" t="b">
        <f aca="false">AND(OR($D256=T1_Region,T1_Region="All Regions"),OR($E256=T1_Income,T1_Income="All Income Groups"))</f>
        <v>1</v>
      </c>
    </row>
    <row r="257" customFormat="false" ht="15" hidden="false" customHeight="true" outlineLevel="0" collapsed="false">
      <c r="A257" s="1" t="s">
        <v>131</v>
      </c>
      <c r="B257" s="1" t="s">
        <v>132</v>
      </c>
      <c r="C257" s="1" t="n">
        <v>2016</v>
      </c>
      <c r="D257" s="1" t="s">
        <v>104</v>
      </c>
      <c r="E257" s="1" t="s">
        <v>90</v>
      </c>
      <c r="F257" s="1" t="n">
        <v>29.62</v>
      </c>
      <c r="G257" s="1" t="n">
        <v>46.42</v>
      </c>
      <c r="H257" s="1" t="n">
        <v>51.28</v>
      </c>
      <c r="I257" s="1" t="n">
        <v>45.75</v>
      </c>
      <c r="J257" s="1" t="n">
        <v>43.27</v>
      </c>
      <c r="K257" s="1" t="n">
        <v>56.73</v>
      </c>
      <c r="L257" s="1" t="s">
        <v>37</v>
      </c>
      <c r="M257" s="1" t="n">
        <v>1554.13</v>
      </c>
      <c r="N257" s="1" t="str">
        <f aca="false">IF(K257&gt;65,"High Risk",IF(K257&gt;=40,"Medium Risk","Low Risk"))</f>
        <v>Medium Risk</v>
      </c>
      <c r="O257" s="20" t="b">
        <f aca="false">AND(OR($D257=T1_Region,T1_Region="All Regions"),OR($E257=T1_Income,T1_Income="All Income Groups"))</f>
        <v>1</v>
      </c>
    </row>
    <row r="258" customFormat="false" ht="15" hidden="false" customHeight="true" outlineLevel="0" collapsed="false">
      <c r="A258" s="1" t="s">
        <v>131</v>
      </c>
      <c r="B258" s="1" t="s">
        <v>132</v>
      </c>
      <c r="C258" s="1" t="n">
        <v>2017</v>
      </c>
      <c r="D258" s="1" t="s">
        <v>104</v>
      </c>
      <c r="E258" s="1" t="s">
        <v>90</v>
      </c>
      <c r="F258" s="1" t="n">
        <v>29.67</v>
      </c>
      <c r="G258" s="1" t="n">
        <v>47.6</v>
      </c>
      <c r="H258" s="1" t="n">
        <v>51.73</v>
      </c>
      <c r="I258" s="1" t="n">
        <v>46.55</v>
      </c>
      <c r="J258" s="1" t="n">
        <v>43.89</v>
      </c>
      <c r="K258" s="1" t="n">
        <v>56.11</v>
      </c>
      <c r="L258" s="1" t="s">
        <v>37</v>
      </c>
      <c r="M258" s="1" t="n">
        <v>1667.48</v>
      </c>
      <c r="N258" s="1" t="str">
        <f aca="false">IF(K258&gt;65,"High Risk",IF(K258&gt;=40,"Medium Risk","Low Risk"))</f>
        <v>Medium Risk</v>
      </c>
      <c r="O258" s="20" t="b">
        <f aca="false">AND(OR($D258=T1_Region,T1_Region="All Regions"),OR($E258=T1_Income,T1_Income="All Income Groups"))</f>
        <v>1</v>
      </c>
    </row>
    <row r="259" customFormat="false" ht="15" hidden="false" customHeight="true" outlineLevel="0" collapsed="false">
      <c r="A259" s="1" t="s">
        <v>131</v>
      </c>
      <c r="B259" s="1" t="s">
        <v>132</v>
      </c>
      <c r="C259" s="1" t="n">
        <v>2018</v>
      </c>
      <c r="D259" s="1" t="s">
        <v>104</v>
      </c>
      <c r="E259" s="1" t="s">
        <v>90</v>
      </c>
      <c r="F259" s="1" t="n">
        <v>30.97</v>
      </c>
      <c r="G259" s="1" t="n">
        <v>48.17</v>
      </c>
      <c r="H259" s="1" t="n">
        <v>50.14</v>
      </c>
      <c r="I259" s="1" t="n">
        <v>46.77</v>
      </c>
      <c r="J259" s="1" t="n">
        <v>44.01</v>
      </c>
      <c r="K259" s="1" t="n">
        <v>55.99</v>
      </c>
      <c r="L259" s="1" t="s">
        <v>37</v>
      </c>
      <c r="M259" s="1" t="n">
        <v>1836.45</v>
      </c>
      <c r="N259" s="1" t="str">
        <f aca="false">IF(K259&gt;65,"High Risk",IF(K259&gt;=40,"Medium Risk","Low Risk"))</f>
        <v>Medium Risk</v>
      </c>
      <c r="O259" s="20" t="b">
        <f aca="false">AND(OR($D259=T1_Region,T1_Region="All Regions"),OR($E259=T1_Income,T1_Income="All Income Groups"))</f>
        <v>1</v>
      </c>
    </row>
    <row r="260" customFormat="false" ht="15" hidden="false" customHeight="true" outlineLevel="0" collapsed="false">
      <c r="A260" s="1" t="s">
        <v>131</v>
      </c>
      <c r="B260" s="1" t="s">
        <v>132</v>
      </c>
      <c r="C260" s="1" t="n">
        <v>2019</v>
      </c>
      <c r="D260" s="1" t="s">
        <v>104</v>
      </c>
      <c r="E260" s="1" t="s">
        <v>90</v>
      </c>
      <c r="F260" s="1" t="n">
        <v>31.47</v>
      </c>
      <c r="G260" s="1" t="n">
        <v>47.34</v>
      </c>
      <c r="H260" s="1" t="n">
        <v>49.44</v>
      </c>
      <c r="I260" s="1" t="n">
        <v>47.53</v>
      </c>
      <c r="J260" s="1" t="n">
        <v>43.95</v>
      </c>
      <c r="K260" s="1" t="n">
        <v>56.05</v>
      </c>
      <c r="L260" s="1" t="s">
        <v>37</v>
      </c>
      <c r="M260" s="1" t="n">
        <v>1960.41</v>
      </c>
      <c r="N260" s="1" t="str">
        <f aca="false">IF(K260&gt;65,"High Risk",IF(K260&gt;=40,"Medium Risk","Low Risk"))</f>
        <v>Medium Risk</v>
      </c>
      <c r="O260" s="20" t="b">
        <f aca="false">AND(OR($D260=T1_Region,T1_Region="All Regions"),OR($E260=T1_Income,T1_Income="All Income Groups"))</f>
        <v>1</v>
      </c>
    </row>
    <row r="261" customFormat="false" ht="15" hidden="false" customHeight="true" outlineLevel="0" collapsed="false">
      <c r="A261" s="1" t="s">
        <v>131</v>
      </c>
      <c r="B261" s="1" t="s">
        <v>132</v>
      </c>
      <c r="C261" s="1" t="n">
        <v>2020</v>
      </c>
      <c r="D261" s="1" t="s">
        <v>104</v>
      </c>
      <c r="E261" s="1" t="s">
        <v>90</v>
      </c>
      <c r="F261" s="1" t="n">
        <v>32.66</v>
      </c>
      <c r="G261" s="1" t="n">
        <v>47.01</v>
      </c>
      <c r="H261" s="1" t="n">
        <v>47.61</v>
      </c>
      <c r="I261" s="1" t="n">
        <v>47.95</v>
      </c>
      <c r="J261" s="1" t="n">
        <v>43.81</v>
      </c>
      <c r="K261" s="1" t="n">
        <v>56.19</v>
      </c>
      <c r="L261" s="1" t="s">
        <v>37</v>
      </c>
      <c r="M261" s="1" t="n">
        <v>1927.66</v>
      </c>
      <c r="N261" s="1" t="str">
        <f aca="false">IF(K261&gt;65,"High Risk",IF(K261&gt;=40,"Medium Risk","Low Risk"))</f>
        <v>Medium Risk</v>
      </c>
      <c r="O261" s="20" t="b">
        <f aca="false">AND(OR($D261=T1_Region,T1_Region="All Regions"),OR($E261=T1_Income,T1_Income="All Income Groups"))</f>
        <v>1</v>
      </c>
    </row>
    <row r="262" customFormat="false" ht="15" hidden="false" customHeight="true" outlineLevel="0" collapsed="false">
      <c r="A262" s="1" t="s">
        <v>131</v>
      </c>
      <c r="B262" s="1" t="s">
        <v>132</v>
      </c>
      <c r="C262" s="1" t="n">
        <v>2021</v>
      </c>
      <c r="D262" s="1" t="s">
        <v>104</v>
      </c>
      <c r="E262" s="1" t="s">
        <v>90</v>
      </c>
      <c r="F262" s="1" t="n">
        <v>33.47</v>
      </c>
      <c r="G262" s="1" t="n">
        <v>49.3</v>
      </c>
      <c r="H262" s="1" t="n">
        <v>48.16</v>
      </c>
      <c r="I262" s="1" t="n">
        <v>46.93</v>
      </c>
      <c r="J262" s="1" t="n">
        <v>44.46</v>
      </c>
      <c r="K262" s="1" t="n">
        <v>55.54</v>
      </c>
      <c r="L262" s="1" t="s">
        <v>37</v>
      </c>
      <c r="M262" s="1" t="n">
        <v>2061.36</v>
      </c>
      <c r="N262" s="1" t="str">
        <f aca="false">IF(K262&gt;65,"High Risk",IF(K262&gt;=40,"Medium Risk","Low Risk"))</f>
        <v>Medium Risk</v>
      </c>
      <c r="O262" s="20" t="b">
        <f aca="false">AND(OR($D262=T1_Region,T1_Region="All Regions"),OR($E262=T1_Income,T1_Income="All Income Groups"))</f>
        <v>1</v>
      </c>
    </row>
    <row r="263" customFormat="false" ht="15" hidden="false" customHeight="true" outlineLevel="0" collapsed="false">
      <c r="A263" s="1" t="s">
        <v>131</v>
      </c>
      <c r="B263" s="1" t="s">
        <v>132</v>
      </c>
      <c r="C263" s="1" t="n">
        <v>2022</v>
      </c>
      <c r="D263" s="1" t="s">
        <v>104</v>
      </c>
      <c r="E263" s="1" t="s">
        <v>90</v>
      </c>
      <c r="F263" s="1" t="n">
        <v>32.65</v>
      </c>
      <c r="G263" s="1" t="n">
        <v>49.66</v>
      </c>
      <c r="H263" s="1" t="n">
        <v>48.7</v>
      </c>
      <c r="I263" s="1" t="n">
        <v>49.46</v>
      </c>
      <c r="J263" s="1" t="n">
        <v>45.12</v>
      </c>
      <c r="K263" s="1" t="n">
        <v>54.88</v>
      </c>
      <c r="L263" s="1" t="s">
        <v>37</v>
      </c>
      <c r="M263" s="1" t="n">
        <v>2109.56</v>
      </c>
      <c r="N263" s="1" t="str">
        <f aca="false">IF(K263&gt;65,"High Risk",IF(K263&gt;=40,"Medium Risk","Low Risk"))</f>
        <v>Medium Risk</v>
      </c>
      <c r="O263" s="20" t="b">
        <f aca="false">AND(OR($D263=T1_Region,T1_Region="All Regions"),OR($E263=T1_Income,T1_Income="All Income Groups"))</f>
        <v>1</v>
      </c>
    </row>
    <row r="264" customFormat="false" ht="15" hidden="false" customHeight="true" outlineLevel="0" collapsed="false">
      <c r="A264" s="1" t="s">
        <v>131</v>
      </c>
      <c r="B264" s="1" t="s">
        <v>132</v>
      </c>
      <c r="C264" s="1" t="n">
        <v>2023</v>
      </c>
      <c r="D264" s="1" t="s">
        <v>104</v>
      </c>
      <c r="E264" s="1" t="s">
        <v>90</v>
      </c>
      <c r="F264" s="1" t="n">
        <v>32.48</v>
      </c>
      <c r="G264" s="1" t="n">
        <v>49.61</v>
      </c>
      <c r="H264" s="1" t="n">
        <v>48.58</v>
      </c>
      <c r="I264" s="1" t="n">
        <v>49.3</v>
      </c>
      <c r="J264" s="1" t="n">
        <v>44.99</v>
      </c>
      <c r="K264" s="1" t="n">
        <v>55.01</v>
      </c>
      <c r="L264" s="1" t="s">
        <v>37</v>
      </c>
      <c r="M264" s="1" t="n">
        <v>1942.59</v>
      </c>
      <c r="N264" s="1" t="str">
        <f aca="false">IF(K264&gt;65,"High Risk",IF(K264&gt;=40,"Medium Risk","Low Risk"))</f>
        <v>Medium Risk</v>
      </c>
      <c r="O264" s="20" t="b">
        <f aca="false">AND(OR($D264=T1_Region,T1_Region="All Regions"),OR($E264=T1_Income,T1_Income="All Income Groups"))</f>
        <v>1</v>
      </c>
    </row>
    <row r="265" customFormat="false" ht="15" hidden="false" customHeight="true" outlineLevel="0" collapsed="false">
      <c r="A265" s="1" t="s">
        <v>131</v>
      </c>
      <c r="B265" s="1" t="s">
        <v>132</v>
      </c>
      <c r="C265" s="1" t="n">
        <v>2024</v>
      </c>
      <c r="D265" s="1" t="s">
        <v>104</v>
      </c>
      <c r="E265" s="1" t="s">
        <v>90</v>
      </c>
      <c r="F265" s="1" t="n">
        <v>31.62</v>
      </c>
      <c r="G265" s="1" t="n">
        <v>48.97</v>
      </c>
      <c r="H265" s="1" t="n">
        <v>49.6</v>
      </c>
      <c r="I265" s="1" t="n">
        <v>42.74</v>
      </c>
      <c r="J265" s="1" t="n">
        <v>43.23</v>
      </c>
      <c r="K265" s="1" t="n">
        <v>56.77</v>
      </c>
      <c r="L265" s="1" t="s">
        <v>37</v>
      </c>
      <c r="M265" s="1" t="n">
        <v>2133.46</v>
      </c>
      <c r="N265" s="1" t="str">
        <f aca="false">IF(K265&gt;65,"High Risk",IF(K265&gt;=40,"Medium Risk","Low Risk"))</f>
        <v>Medium Risk</v>
      </c>
      <c r="O265" s="20" t="b">
        <f aca="false">AND(OR($D265=T1_Region,T1_Region="All Regions"),OR($E265=T1_Income,T1_Income="All Income Groups"))</f>
        <v>1</v>
      </c>
    </row>
    <row r="266" customFormat="false" ht="15" hidden="false" customHeight="true" outlineLevel="0" collapsed="false">
      <c r="A266" s="1" t="s">
        <v>133</v>
      </c>
      <c r="B266" s="1" t="s">
        <v>134</v>
      </c>
      <c r="C266" s="1" t="n">
        <v>2013</v>
      </c>
      <c r="D266" s="1" t="s">
        <v>81</v>
      </c>
      <c r="E266" s="1" t="s">
        <v>82</v>
      </c>
      <c r="F266" s="1" t="n">
        <v>37.1</v>
      </c>
      <c r="G266" s="1" t="n">
        <v>45.82</v>
      </c>
      <c r="H266" s="1" t="n">
        <v>59.38</v>
      </c>
      <c r="I266" s="1" t="n">
        <v>52.15</v>
      </c>
      <c r="J266" s="1" t="n">
        <v>48.61</v>
      </c>
      <c r="K266" s="1" t="n">
        <v>51.39</v>
      </c>
      <c r="L266" s="1" t="s">
        <v>37</v>
      </c>
      <c r="M266" s="1" t="n">
        <v>11216.8</v>
      </c>
      <c r="N266" s="1" t="str">
        <f aca="false">IF(K266&gt;65,"High Risk",IF(K266&gt;=40,"Medium Risk","Low Risk"))</f>
        <v>Medium Risk</v>
      </c>
      <c r="O266" s="20" t="b">
        <f aca="false">AND(OR($D266=T1_Region,T1_Region="All Regions"),OR($E266=T1_Income,T1_Income="All Income Groups"))</f>
        <v>1</v>
      </c>
    </row>
    <row r="267" customFormat="false" ht="15" hidden="false" customHeight="true" outlineLevel="0" collapsed="false">
      <c r="A267" s="1" t="s">
        <v>133</v>
      </c>
      <c r="B267" s="1" t="s">
        <v>134</v>
      </c>
      <c r="C267" s="1" t="n">
        <v>2014</v>
      </c>
      <c r="D267" s="1" t="s">
        <v>81</v>
      </c>
      <c r="E267" s="1" t="s">
        <v>82</v>
      </c>
      <c r="F267" s="1" t="n">
        <v>32.62</v>
      </c>
      <c r="G267" s="1" t="n">
        <v>46.93</v>
      </c>
      <c r="H267" s="1" t="n">
        <v>58.15</v>
      </c>
      <c r="I267" s="1" t="n">
        <v>49.5</v>
      </c>
      <c r="J267" s="1" t="n">
        <v>46.8</v>
      </c>
      <c r="K267" s="1" t="n">
        <v>53.2</v>
      </c>
      <c r="L267" s="1" t="s">
        <v>37</v>
      </c>
      <c r="M267" s="1" t="n">
        <v>11391.38</v>
      </c>
      <c r="N267" s="1" t="str">
        <f aca="false">IF(K267&gt;65,"High Risk",IF(K267&gt;=40,"Medium Risk","Low Risk"))</f>
        <v>Medium Risk</v>
      </c>
      <c r="O267" s="20" t="b">
        <f aca="false">AND(OR($D267=T1_Region,T1_Region="All Regions"),OR($E267=T1_Income,T1_Income="All Income Groups"))</f>
        <v>1</v>
      </c>
    </row>
    <row r="268" customFormat="false" ht="15" hidden="false" customHeight="true" outlineLevel="0" collapsed="false">
      <c r="A268" s="1" t="s">
        <v>133</v>
      </c>
      <c r="B268" s="1" t="s">
        <v>134</v>
      </c>
      <c r="C268" s="1" t="n">
        <v>2015</v>
      </c>
      <c r="D268" s="1" t="s">
        <v>81</v>
      </c>
      <c r="E268" s="1" t="s">
        <v>82</v>
      </c>
      <c r="F268" s="1" t="n">
        <v>30.83</v>
      </c>
      <c r="G268" s="1" t="n">
        <v>45.21</v>
      </c>
      <c r="H268" s="1" t="n">
        <v>57.74</v>
      </c>
      <c r="I268" s="1" t="n">
        <v>50.65</v>
      </c>
      <c r="J268" s="1" t="n">
        <v>46.11</v>
      </c>
      <c r="K268" s="1" t="n">
        <v>53.89</v>
      </c>
      <c r="L268" s="1" t="s">
        <v>37</v>
      </c>
      <c r="M268" s="1" t="n">
        <v>10021.24</v>
      </c>
      <c r="N268" s="1" t="str">
        <f aca="false">IF(K268&gt;65,"High Risk",IF(K268&gt;=40,"Medium Risk","Low Risk"))</f>
        <v>Medium Risk</v>
      </c>
      <c r="O268" s="20" t="b">
        <f aca="false">AND(OR($D268=T1_Region,T1_Region="All Regions"),OR($E268=T1_Income,T1_Income="All Income Groups"))</f>
        <v>1</v>
      </c>
    </row>
    <row r="269" customFormat="false" ht="15" hidden="false" customHeight="true" outlineLevel="0" collapsed="false">
      <c r="A269" s="1" t="s">
        <v>133</v>
      </c>
      <c r="B269" s="1" t="s">
        <v>134</v>
      </c>
      <c r="C269" s="1" t="n">
        <v>2016</v>
      </c>
      <c r="D269" s="1" t="s">
        <v>81</v>
      </c>
      <c r="E269" s="1" t="s">
        <v>82</v>
      </c>
      <c r="F269" s="1" t="n">
        <v>31.23</v>
      </c>
      <c r="G269" s="1" t="n">
        <v>45.47</v>
      </c>
      <c r="H269" s="1" t="n">
        <v>57.4</v>
      </c>
      <c r="I269" s="1" t="n">
        <v>51.65</v>
      </c>
      <c r="J269" s="1" t="n">
        <v>46.44</v>
      </c>
      <c r="K269" s="1" t="n">
        <v>53.56</v>
      </c>
      <c r="L269" s="1" t="s">
        <v>37</v>
      </c>
      <c r="M269" s="1" t="n">
        <v>9097.92</v>
      </c>
      <c r="N269" s="1" t="str">
        <f aca="false">IF(K269&gt;65,"High Risk",IF(K269&gt;=40,"Medium Risk","Low Risk"))</f>
        <v>Medium Risk</v>
      </c>
      <c r="O269" s="20" t="b">
        <f aca="false">AND(OR($D269=T1_Region,T1_Region="All Regions"),OR($E269=T1_Income,T1_Income="All Income Groups"))</f>
        <v>1</v>
      </c>
    </row>
    <row r="270" customFormat="false" ht="15" hidden="false" customHeight="true" outlineLevel="0" collapsed="false">
      <c r="A270" s="1" t="s">
        <v>133</v>
      </c>
      <c r="B270" s="1" t="s">
        <v>134</v>
      </c>
      <c r="C270" s="1" t="n">
        <v>2017</v>
      </c>
      <c r="D270" s="1" t="s">
        <v>81</v>
      </c>
      <c r="E270" s="1" t="s">
        <v>82</v>
      </c>
      <c r="F270" s="1" t="n">
        <v>28.66</v>
      </c>
      <c r="G270" s="1" t="n">
        <v>44.4</v>
      </c>
      <c r="H270" s="1" t="n">
        <v>57.45</v>
      </c>
      <c r="I270" s="1" t="n">
        <v>48.03</v>
      </c>
      <c r="J270" s="1" t="n">
        <v>44.64</v>
      </c>
      <c r="K270" s="1" t="n">
        <v>55.36</v>
      </c>
      <c r="L270" s="1" t="s">
        <v>37</v>
      </c>
      <c r="M270" s="1" t="n">
        <v>9649.28</v>
      </c>
      <c r="N270" s="1" t="str">
        <f aca="false">IF(K270&gt;65,"High Risk",IF(K270&gt;=40,"Medium Risk","Low Risk"))</f>
        <v>Medium Risk</v>
      </c>
      <c r="O270" s="20" t="b">
        <f aca="false">AND(OR($D270=T1_Region,T1_Region="All Regions"),OR($E270=T1_Income,T1_Income="All Income Groups"))</f>
        <v>1</v>
      </c>
    </row>
    <row r="271" customFormat="false" ht="15" hidden="false" customHeight="true" outlineLevel="0" collapsed="false">
      <c r="A271" s="1" t="s">
        <v>133</v>
      </c>
      <c r="B271" s="1" t="s">
        <v>134</v>
      </c>
      <c r="C271" s="1" t="n">
        <v>2018</v>
      </c>
      <c r="D271" s="1" t="s">
        <v>81</v>
      </c>
      <c r="E271" s="1" t="s">
        <v>82</v>
      </c>
      <c r="F271" s="1" t="n">
        <v>28.77</v>
      </c>
      <c r="G271" s="1" t="n">
        <v>43.09</v>
      </c>
      <c r="H271" s="1" t="n">
        <v>54.81</v>
      </c>
      <c r="I271" s="1" t="n">
        <v>50.05</v>
      </c>
      <c r="J271" s="1" t="n">
        <v>44.18</v>
      </c>
      <c r="K271" s="1" t="n">
        <v>55.82</v>
      </c>
      <c r="L271" s="1" t="s">
        <v>37</v>
      </c>
      <c r="M271" s="1" t="n">
        <v>10084.79</v>
      </c>
      <c r="N271" s="1" t="str">
        <f aca="false">IF(K271&gt;65,"High Risk",IF(K271&gt;=40,"Medium Risk","Low Risk"))</f>
        <v>Medium Risk</v>
      </c>
      <c r="O271" s="20" t="b">
        <f aca="false">AND(OR($D271=T1_Region,T1_Region="All Regions"),OR($E271=T1_Income,T1_Income="All Income Groups"))</f>
        <v>1</v>
      </c>
    </row>
    <row r="272" customFormat="false" ht="15" hidden="false" customHeight="true" outlineLevel="0" collapsed="false">
      <c r="A272" s="1" t="s">
        <v>133</v>
      </c>
      <c r="B272" s="1" t="s">
        <v>134</v>
      </c>
      <c r="C272" s="1" t="n">
        <v>2019</v>
      </c>
      <c r="D272" s="1" t="s">
        <v>81</v>
      </c>
      <c r="E272" s="1" t="s">
        <v>82</v>
      </c>
      <c r="F272" s="1" t="n">
        <v>29.85</v>
      </c>
      <c r="G272" s="1" t="n">
        <v>41.89</v>
      </c>
      <c r="H272" s="1" t="n">
        <v>54.2</v>
      </c>
      <c r="I272" s="1" t="n">
        <v>50.56</v>
      </c>
      <c r="J272" s="1" t="n">
        <v>44.13</v>
      </c>
      <c r="K272" s="1" t="n">
        <v>55.87</v>
      </c>
      <c r="L272" s="1" t="s">
        <v>37</v>
      </c>
      <c r="M272" s="1" t="n">
        <v>10369.56</v>
      </c>
      <c r="N272" s="1" t="str">
        <f aca="false">IF(K272&gt;65,"High Risk",IF(K272&gt;=40,"Medium Risk","Low Risk"))</f>
        <v>Medium Risk</v>
      </c>
      <c r="O272" s="20" t="b">
        <f aca="false">AND(OR($D272=T1_Region,T1_Region="All Regions"),OR($E272=T1_Income,T1_Income="All Income Groups"))</f>
        <v>1</v>
      </c>
    </row>
    <row r="273" customFormat="false" ht="15" hidden="false" customHeight="true" outlineLevel="0" collapsed="false">
      <c r="A273" s="1" t="s">
        <v>133</v>
      </c>
      <c r="B273" s="1" t="s">
        <v>134</v>
      </c>
      <c r="C273" s="1" t="n">
        <v>2020</v>
      </c>
      <c r="D273" s="1" t="s">
        <v>81</v>
      </c>
      <c r="E273" s="1" t="s">
        <v>82</v>
      </c>
      <c r="F273" s="1" t="n">
        <v>30.57</v>
      </c>
      <c r="G273" s="1" t="n">
        <v>39.98</v>
      </c>
      <c r="H273" s="1" t="n">
        <v>52.98</v>
      </c>
      <c r="I273" s="1" t="n">
        <v>52.62</v>
      </c>
      <c r="J273" s="1" t="n">
        <v>44.04</v>
      </c>
      <c r="K273" s="1" t="n">
        <v>55.96</v>
      </c>
      <c r="L273" s="1" t="s">
        <v>37</v>
      </c>
      <c r="M273" s="1" t="n">
        <v>8841.27</v>
      </c>
      <c r="N273" s="1" t="str">
        <f aca="false">IF(K273&gt;65,"High Risk",IF(K273&gt;=40,"Medium Risk","Low Risk"))</f>
        <v>Medium Risk</v>
      </c>
      <c r="O273" s="20" t="b">
        <f aca="false">AND(OR($D273=T1_Region,T1_Region="All Regions"),OR($E273=T1_Income,T1_Income="All Income Groups"))</f>
        <v>1</v>
      </c>
    </row>
    <row r="274" customFormat="false" ht="15" hidden="false" customHeight="true" outlineLevel="0" collapsed="false">
      <c r="A274" s="1" t="s">
        <v>133</v>
      </c>
      <c r="B274" s="1" t="s">
        <v>134</v>
      </c>
      <c r="C274" s="1" t="n">
        <v>2021</v>
      </c>
      <c r="D274" s="1" t="s">
        <v>81</v>
      </c>
      <c r="E274" s="1" t="s">
        <v>82</v>
      </c>
      <c r="F274" s="1" t="n">
        <v>30.18</v>
      </c>
      <c r="G274" s="1" t="n">
        <v>39.33</v>
      </c>
      <c r="H274" s="1" t="n">
        <v>51.85</v>
      </c>
      <c r="I274" s="1" t="n">
        <v>53.32</v>
      </c>
      <c r="J274" s="1" t="n">
        <v>43.67</v>
      </c>
      <c r="K274" s="1" t="n">
        <v>56.33</v>
      </c>
      <c r="L274" s="1" t="s">
        <v>37</v>
      </c>
      <c r="M274" s="1" t="n">
        <v>10314.05</v>
      </c>
      <c r="N274" s="1" t="str">
        <f aca="false">IF(K274&gt;65,"High Risk",IF(K274&gt;=40,"Medium Risk","Low Risk"))</f>
        <v>Medium Risk</v>
      </c>
      <c r="O274" s="20" t="b">
        <f aca="false">AND(OR($D274=T1_Region,T1_Region="All Regions"),OR($E274=T1_Income,T1_Income="All Income Groups"))</f>
        <v>1</v>
      </c>
    </row>
    <row r="275" customFormat="false" ht="15" hidden="false" customHeight="true" outlineLevel="0" collapsed="false">
      <c r="A275" s="1" t="s">
        <v>133</v>
      </c>
      <c r="B275" s="1" t="s">
        <v>134</v>
      </c>
      <c r="C275" s="1" t="n">
        <v>2022</v>
      </c>
      <c r="D275" s="1" t="s">
        <v>81</v>
      </c>
      <c r="E275" s="1" t="s">
        <v>82</v>
      </c>
      <c r="F275" s="1" t="n">
        <v>30.13</v>
      </c>
      <c r="G275" s="1" t="n">
        <v>38.34</v>
      </c>
      <c r="H275" s="1" t="n">
        <v>52.4</v>
      </c>
      <c r="I275" s="1" t="n">
        <v>55.83</v>
      </c>
      <c r="J275" s="1" t="n">
        <v>44.17</v>
      </c>
      <c r="K275" s="1" t="n">
        <v>55.83</v>
      </c>
      <c r="L275" s="1" t="s">
        <v>37</v>
      </c>
      <c r="M275" s="1" t="n">
        <v>11405.79</v>
      </c>
      <c r="N275" s="1" t="str">
        <f aca="false">IF(K275&gt;65,"High Risk",IF(K275&gt;=40,"Medium Risk","Low Risk"))</f>
        <v>Medium Risk</v>
      </c>
      <c r="O275" s="20" t="b">
        <f aca="false">AND(OR($D275=T1_Region,T1_Region="All Regions"),OR($E275=T1_Income,T1_Income="All Income Groups"))</f>
        <v>1</v>
      </c>
    </row>
    <row r="276" customFormat="false" ht="15" hidden="false" customHeight="true" outlineLevel="0" collapsed="false">
      <c r="A276" s="1" t="s">
        <v>133</v>
      </c>
      <c r="B276" s="1" t="s">
        <v>134</v>
      </c>
      <c r="C276" s="1" t="n">
        <v>2023</v>
      </c>
      <c r="D276" s="1" t="s">
        <v>81</v>
      </c>
      <c r="E276" s="1" t="s">
        <v>82</v>
      </c>
      <c r="F276" s="1" t="n">
        <v>28.99</v>
      </c>
      <c r="G276" s="1" t="n">
        <v>38.42</v>
      </c>
      <c r="H276" s="1" t="n">
        <v>52.09</v>
      </c>
      <c r="I276" s="1" t="n">
        <v>55.67</v>
      </c>
      <c r="J276" s="1" t="n">
        <v>43.79</v>
      </c>
      <c r="K276" s="1" t="n">
        <v>56.21</v>
      </c>
      <c r="L276" s="1" t="s">
        <v>37</v>
      </c>
      <c r="M276" s="1" t="n">
        <v>13830.84</v>
      </c>
      <c r="N276" s="1" t="str">
        <f aca="false">IF(K276&gt;65,"High Risk",IF(K276&gt;=40,"Medium Risk","Low Risk"))</f>
        <v>Medium Risk</v>
      </c>
      <c r="O276" s="20" t="b">
        <f aca="false">AND(OR($D276=T1_Region,T1_Region="All Regions"),OR($E276=T1_Income,T1_Income="All Income Groups"))</f>
        <v>1</v>
      </c>
    </row>
    <row r="277" customFormat="false" ht="15" hidden="false" customHeight="true" outlineLevel="0" collapsed="false">
      <c r="A277" s="1" t="s">
        <v>133</v>
      </c>
      <c r="B277" s="1" t="s">
        <v>134</v>
      </c>
      <c r="C277" s="1" t="n">
        <v>2024</v>
      </c>
      <c r="D277" s="1" t="s">
        <v>81</v>
      </c>
      <c r="E277" s="1" t="s">
        <v>82</v>
      </c>
      <c r="F277" s="1" t="n">
        <v>28.81</v>
      </c>
      <c r="G277" s="1" t="n">
        <v>37.11</v>
      </c>
      <c r="H277" s="1" t="n">
        <v>51.77</v>
      </c>
      <c r="I277" s="1" t="n">
        <v>53.67</v>
      </c>
      <c r="J277" s="1" t="n">
        <v>42.84</v>
      </c>
      <c r="K277" s="1" t="n">
        <v>57.16</v>
      </c>
      <c r="L277" s="1" t="s">
        <v>37</v>
      </c>
      <c r="M277" s="1" t="n">
        <v>13988.04</v>
      </c>
      <c r="N277" s="1" t="str">
        <f aca="false">IF(K277&gt;65,"High Risk",IF(K277&gt;=40,"Medium Risk","Low Risk"))</f>
        <v>Medium Risk</v>
      </c>
      <c r="O277" s="20" t="b">
        <f aca="false">AND(OR($D277=T1_Region,T1_Region="All Regions"),OR($E277=T1_Income,T1_Income="All Income Groups"))</f>
        <v>1</v>
      </c>
    </row>
    <row r="278" customFormat="false" ht="15" hidden="false" customHeight="true" outlineLevel="0" collapsed="false">
      <c r="A278" s="1" t="s">
        <v>135</v>
      </c>
      <c r="B278" s="1" t="s">
        <v>136</v>
      </c>
      <c r="C278" s="1" t="n">
        <v>2013</v>
      </c>
      <c r="D278" s="1" t="s">
        <v>104</v>
      </c>
      <c r="E278" s="1" t="s">
        <v>90</v>
      </c>
      <c r="F278" s="1" t="n">
        <v>23.86</v>
      </c>
      <c r="G278" s="1" t="n">
        <v>36.56</v>
      </c>
      <c r="H278" s="1" t="n">
        <v>43.18</v>
      </c>
      <c r="I278" s="1" t="n">
        <v>31.91</v>
      </c>
      <c r="J278" s="1" t="n">
        <v>33.88</v>
      </c>
      <c r="K278" s="1" t="n">
        <v>66.12</v>
      </c>
      <c r="L278" s="1" t="s">
        <v>37</v>
      </c>
      <c r="M278" s="1" t="n">
        <v>2872.79</v>
      </c>
      <c r="N278" s="1" t="str">
        <f aca="false">IF(K278&gt;65,"High Risk",IF(K278&gt;=40,"Medium Risk","Low Risk"))</f>
        <v>High Risk</v>
      </c>
      <c r="O278" s="20" t="b">
        <f aca="false">AND(OR($D278=T1_Region,T1_Region="All Regions"),OR($E278=T1_Income,T1_Income="All Income Groups"))</f>
        <v>1</v>
      </c>
    </row>
    <row r="279" customFormat="false" ht="15" hidden="false" customHeight="true" outlineLevel="0" collapsed="false">
      <c r="A279" s="1" t="s">
        <v>135</v>
      </c>
      <c r="B279" s="1" t="s">
        <v>136</v>
      </c>
      <c r="C279" s="1" t="n">
        <v>2014</v>
      </c>
      <c r="D279" s="1" t="s">
        <v>104</v>
      </c>
      <c r="E279" s="1" t="s">
        <v>90</v>
      </c>
      <c r="F279" s="1" t="n">
        <v>21.58</v>
      </c>
      <c r="G279" s="1" t="n">
        <v>37.48</v>
      </c>
      <c r="H279" s="1" t="n">
        <v>42.34</v>
      </c>
      <c r="I279" s="1" t="n">
        <v>28.56</v>
      </c>
      <c r="J279" s="1" t="n">
        <v>32.49</v>
      </c>
      <c r="K279" s="1" t="n">
        <v>67.51</v>
      </c>
      <c r="L279" s="1" t="s">
        <v>37</v>
      </c>
      <c r="M279" s="1" t="n">
        <v>3088.72</v>
      </c>
      <c r="N279" s="1" t="str">
        <f aca="false">IF(K279&gt;65,"High Risk",IF(K279&gt;=40,"Medium Risk","Low Risk"))</f>
        <v>High Risk</v>
      </c>
      <c r="O279" s="20" t="b">
        <f aca="false">AND(OR($D279=T1_Region,T1_Region="All Regions"),OR($E279=T1_Income,T1_Income="All Income Groups"))</f>
        <v>1</v>
      </c>
    </row>
    <row r="280" customFormat="false" ht="15" hidden="false" customHeight="true" outlineLevel="0" collapsed="false">
      <c r="A280" s="1" t="s">
        <v>135</v>
      </c>
      <c r="B280" s="1" t="s">
        <v>136</v>
      </c>
      <c r="C280" s="1" t="n">
        <v>2015</v>
      </c>
      <c r="D280" s="1" t="s">
        <v>104</v>
      </c>
      <c r="E280" s="1" t="s">
        <v>90</v>
      </c>
      <c r="F280" s="1" t="n">
        <v>24.35</v>
      </c>
      <c r="G280" s="1" t="n">
        <v>40.43</v>
      </c>
      <c r="H280" s="1" t="n">
        <v>43.19</v>
      </c>
      <c r="I280" s="1" t="n">
        <v>37.41</v>
      </c>
      <c r="J280" s="1" t="n">
        <v>36.34</v>
      </c>
      <c r="K280" s="1" t="n">
        <v>63.66</v>
      </c>
      <c r="L280" s="1" t="s">
        <v>37</v>
      </c>
      <c r="M280" s="1" t="n">
        <v>2585.73</v>
      </c>
      <c r="N280" s="1" t="str">
        <f aca="false">IF(K280&gt;65,"High Risk",IF(K280&gt;=40,"Medium Risk","Low Risk"))</f>
        <v>Medium Risk</v>
      </c>
      <c r="O280" s="20" t="b">
        <f aca="false">AND(OR($D280=T1_Region,T1_Region="All Regions"),OR($E280=T1_Income,T1_Income="All Income Groups"))</f>
        <v>1</v>
      </c>
    </row>
    <row r="281" customFormat="false" ht="15" hidden="false" customHeight="true" outlineLevel="0" collapsed="false">
      <c r="A281" s="1" t="s">
        <v>135</v>
      </c>
      <c r="B281" s="1" t="s">
        <v>136</v>
      </c>
      <c r="C281" s="1" t="n">
        <v>2016</v>
      </c>
      <c r="D281" s="1" t="s">
        <v>104</v>
      </c>
      <c r="E281" s="1" t="s">
        <v>90</v>
      </c>
      <c r="F281" s="1" t="n">
        <v>25.77</v>
      </c>
      <c r="G281" s="1" t="n">
        <v>41.83</v>
      </c>
      <c r="H281" s="1" t="n">
        <v>42.01</v>
      </c>
      <c r="I281" s="1" t="n">
        <v>36.68</v>
      </c>
      <c r="J281" s="1" t="n">
        <v>36.57</v>
      </c>
      <c r="K281" s="1" t="n">
        <v>63.43</v>
      </c>
      <c r="L281" s="1" t="s">
        <v>37</v>
      </c>
      <c r="M281" s="1" t="n">
        <v>2070.41</v>
      </c>
      <c r="N281" s="1" t="str">
        <f aca="false">IF(K281&gt;65,"High Risk",IF(K281&gt;=40,"Medium Risk","Low Risk"))</f>
        <v>Medium Risk</v>
      </c>
      <c r="O281" s="20" t="b">
        <f aca="false">AND(OR($D281=T1_Region,T1_Region="All Regions"),OR($E281=T1_Income,T1_Income="All Income Groups"))</f>
        <v>1</v>
      </c>
    </row>
    <row r="282" customFormat="false" ht="15" hidden="false" customHeight="true" outlineLevel="0" collapsed="false">
      <c r="A282" s="1" t="s">
        <v>135</v>
      </c>
      <c r="B282" s="1" t="s">
        <v>136</v>
      </c>
      <c r="C282" s="1" t="n">
        <v>2017</v>
      </c>
      <c r="D282" s="1" t="s">
        <v>104</v>
      </c>
      <c r="E282" s="1" t="s">
        <v>90</v>
      </c>
      <c r="F282" s="1" t="n">
        <v>24.69</v>
      </c>
      <c r="G282" s="1" t="n">
        <v>43.3</v>
      </c>
      <c r="H282" s="1" t="n">
        <v>42.59</v>
      </c>
      <c r="I282" s="1" t="n">
        <v>33.27</v>
      </c>
      <c r="J282" s="1" t="n">
        <v>35.96</v>
      </c>
      <c r="K282" s="1" t="n">
        <v>64.04</v>
      </c>
      <c r="L282" s="1" t="s">
        <v>37</v>
      </c>
      <c r="M282" s="1" t="n">
        <v>1876.34</v>
      </c>
      <c r="N282" s="1" t="str">
        <f aca="false">IF(K282&gt;65,"High Risk",IF(K282&gt;=40,"Medium Risk","Low Risk"))</f>
        <v>Medium Risk</v>
      </c>
      <c r="O282" s="20" t="b">
        <f aca="false">AND(OR($D282=T1_Region,T1_Region="All Regions"),OR($E282=T1_Income,T1_Income="All Income Groups"))</f>
        <v>1</v>
      </c>
    </row>
    <row r="283" customFormat="false" ht="15" hidden="false" customHeight="true" outlineLevel="0" collapsed="false">
      <c r="A283" s="1" t="s">
        <v>135</v>
      </c>
      <c r="B283" s="1" t="s">
        <v>136</v>
      </c>
      <c r="C283" s="1" t="n">
        <v>2018</v>
      </c>
      <c r="D283" s="1" t="s">
        <v>104</v>
      </c>
      <c r="E283" s="1" t="s">
        <v>90</v>
      </c>
      <c r="F283" s="1" t="n">
        <v>24.67</v>
      </c>
      <c r="G283" s="1" t="n">
        <v>42.96</v>
      </c>
      <c r="H283" s="1" t="n">
        <v>41.77</v>
      </c>
      <c r="I283" s="1" t="n">
        <v>33.69</v>
      </c>
      <c r="J283" s="1" t="n">
        <v>35.77</v>
      </c>
      <c r="K283" s="1" t="n">
        <v>64.23</v>
      </c>
      <c r="L283" s="1" t="s">
        <v>37</v>
      </c>
      <c r="M283" s="1" t="n">
        <v>2057.88</v>
      </c>
      <c r="N283" s="1" t="str">
        <f aca="false">IF(K283&gt;65,"High Risk",IF(K283&gt;=40,"Medium Risk","Low Risk"))</f>
        <v>Medium Risk</v>
      </c>
      <c r="O283" s="20" t="b">
        <f aca="false">AND(OR($D283=T1_Region,T1_Region="All Regions"),OR($E283=T1_Income,T1_Income="All Income Groups"))</f>
        <v>1</v>
      </c>
    </row>
    <row r="284" customFormat="false" ht="15" hidden="false" customHeight="true" outlineLevel="0" collapsed="false">
      <c r="A284" s="1" t="s">
        <v>135</v>
      </c>
      <c r="B284" s="1" t="s">
        <v>136</v>
      </c>
      <c r="C284" s="1" t="n">
        <v>2019</v>
      </c>
      <c r="D284" s="1" t="s">
        <v>104</v>
      </c>
      <c r="E284" s="1" t="s">
        <v>90</v>
      </c>
      <c r="F284" s="1" t="n">
        <v>25.07</v>
      </c>
      <c r="G284" s="1" t="n">
        <v>42.55</v>
      </c>
      <c r="H284" s="1" t="n">
        <v>41.23</v>
      </c>
      <c r="I284" s="1" t="n">
        <v>32.19</v>
      </c>
      <c r="J284" s="1" t="n">
        <v>35.26</v>
      </c>
      <c r="K284" s="1" t="n">
        <v>64.74</v>
      </c>
      <c r="L284" s="1" t="s">
        <v>37</v>
      </c>
      <c r="M284" s="1" t="n">
        <v>3189.81</v>
      </c>
      <c r="N284" s="1" t="str">
        <f aca="false">IF(K284&gt;65,"High Risk",IF(K284&gt;=40,"Medium Risk","Low Risk"))</f>
        <v>Medium Risk</v>
      </c>
      <c r="O284" s="20" t="b">
        <f aca="false">AND(OR($D284=T1_Region,T1_Region="All Regions"),OR($E284=T1_Income,T1_Income="All Income Groups"))</f>
        <v>1</v>
      </c>
    </row>
    <row r="285" customFormat="false" ht="15" hidden="false" customHeight="true" outlineLevel="0" collapsed="false">
      <c r="A285" s="1" t="s">
        <v>135</v>
      </c>
      <c r="B285" s="1" t="s">
        <v>136</v>
      </c>
      <c r="C285" s="1" t="n">
        <v>2020</v>
      </c>
      <c r="D285" s="1" t="s">
        <v>104</v>
      </c>
      <c r="E285" s="1" t="s">
        <v>90</v>
      </c>
      <c r="F285" s="1" t="n">
        <v>25.23</v>
      </c>
      <c r="G285" s="1" t="n">
        <v>42.49</v>
      </c>
      <c r="H285" s="1" t="n">
        <v>40.87</v>
      </c>
      <c r="I285" s="1" t="n">
        <v>31.58</v>
      </c>
      <c r="J285" s="1" t="n">
        <v>35.04</v>
      </c>
      <c r="K285" s="1" t="n">
        <v>64.96</v>
      </c>
      <c r="L285" s="1" t="s">
        <v>37</v>
      </c>
      <c r="M285" s="1" t="n">
        <v>2797.18</v>
      </c>
      <c r="N285" s="1" t="str">
        <f aca="false">IF(K285&gt;65,"High Risk",IF(K285&gt;=40,"Medium Risk","Low Risk"))</f>
        <v>Medium Risk</v>
      </c>
      <c r="O285" s="20" t="b">
        <f aca="false">AND(OR($D285=T1_Region,T1_Region="All Regions"),OR($E285=T1_Income,T1_Income="All Income Groups"))</f>
        <v>1</v>
      </c>
    </row>
    <row r="286" customFormat="false" ht="15" hidden="false" customHeight="true" outlineLevel="0" collapsed="false">
      <c r="A286" s="1" t="s">
        <v>135</v>
      </c>
      <c r="B286" s="1" t="s">
        <v>136</v>
      </c>
      <c r="C286" s="1" t="n">
        <v>2021</v>
      </c>
      <c r="D286" s="1" t="s">
        <v>104</v>
      </c>
      <c r="E286" s="1" t="s">
        <v>90</v>
      </c>
      <c r="F286" s="1" t="n">
        <v>23.75</v>
      </c>
      <c r="G286" s="1" t="n">
        <v>41.02</v>
      </c>
      <c r="H286" s="1" t="n">
        <v>41.1</v>
      </c>
      <c r="I286" s="1" t="n">
        <v>31.5</v>
      </c>
      <c r="J286" s="1" t="n">
        <v>34.34</v>
      </c>
      <c r="K286" s="1" t="n">
        <v>65.66</v>
      </c>
      <c r="L286" s="1" t="s">
        <v>37</v>
      </c>
      <c r="M286" s="1" t="n">
        <v>2787.49</v>
      </c>
      <c r="N286" s="1" t="str">
        <f aca="false">IF(K286&gt;65,"High Risk",IF(K286&gt;=40,"Medium Risk","Low Risk"))</f>
        <v>High Risk</v>
      </c>
      <c r="O286" s="20" t="b">
        <f aca="false">AND(OR($D286=T1_Region,T1_Region="All Regions"),OR($E286=T1_Income,T1_Income="All Income Groups"))</f>
        <v>1</v>
      </c>
    </row>
    <row r="287" customFormat="false" ht="15" hidden="false" customHeight="true" outlineLevel="0" collapsed="false">
      <c r="A287" s="1" t="s">
        <v>135</v>
      </c>
      <c r="B287" s="1" t="s">
        <v>136</v>
      </c>
      <c r="C287" s="1" t="n">
        <v>2022</v>
      </c>
      <c r="D287" s="1" t="s">
        <v>104</v>
      </c>
      <c r="E287" s="1" t="s">
        <v>90</v>
      </c>
      <c r="F287" s="1" t="n">
        <v>23.06</v>
      </c>
      <c r="G287" s="1" t="n">
        <v>39.76</v>
      </c>
      <c r="H287" s="1" t="n">
        <v>39.15</v>
      </c>
      <c r="I287" s="1" t="n">
        <v>32.54</v>
      </c>
      <c r="J287" s="1" t="n">
        <v>33.63</v>
      </c>
      <c r="K287" s="1" t="n">
        <v>66.37</v>
      </c>
      <c r="L287" s="1" t="s">
        <v>37</v>
      </c>
      <c r="M287" s="1" t="n">
        <v>2899.16</v>
      </c>
      <c r="N287" s="1" t="str">
        <f aca="false">IF(K287&gt;65,"High Risk",IF(K287&gt;=40,"Medium Risk","Low Risk"))</f>
        <v>High Risk</v>
      </c>
      <c r="O287" s="20" t="b">
        <f aca="false">AND(OR($D287=T1_Region,T1_Region="All Regions"),OR($E287=T1_Income,T1_Income="All Income Groups"))</f>
        <v>1</v>
      </c>
    </row>
    <row r="288" customFormat="false" ht="15" hidden="false" customHeight="true" outlineLevel="0" collapsed="false">
      <c r="A288" s="1" t="s">
        <v>135</v>
      </c>
      <c r="B288" s="1" t="s">
        <v>136</v>
      </c>
      <c r="C288" s="1" t="n">
        <v>2023</v>
      </c>
      <c r="D288" s="1" t="s">
        <v>104</v>
      </c>
      <c r="E288" s="1" t="s">
        <v>90</v>
      </c>
      <c r="F288" s="1" t="n">
        <v>25.61</v>
      </c>
      <c r="G288" s="1" t="n">
        <v>40.88</v>
      </c>
      <c r="H288" s="1" t="n">
        <v>41.81</v>
      </c>
      <c r="I288" s="1" t="n">
        <v>32.48</v>
      </c>
      <c r="J288" s="1" t="n">
        <v>35.2</v>
      </c>
      <c r="K288" s="1" t="n">
        <v>64.8</v>
      </c>
      <c r="L288" s="1" t="s">
        <v>37</v>
      </c>
      <c r="M288" s="1" t="n">
        <v>2138.76</v>
      </c>
      <c r="N288" s="1" t="str">
        <f aca="false">IF(K288&gt;65,"High Risk",IF(K288&gt;=40,"Medium Risk","Low Risk"))</f>
        <v>Medium Risk</v>
      </c>
      <c r="O288" s="20" t="b">
        <f aca="false">AND(OR($D288=T1_Region,T1_Region="All Regions"),OR($E288=T1_Income,T1_Income="All Income Groups"))</f>
        <v>1</v>
      </c>
    </row>
    <row r="289" customFormat="false" ht="15" hidden="false" customHeight="true" outlineLevel="0" collapsed="false">
      <c r="A289" s="1" t="s">
        <v>135</v>
      </c>
      <c r="B289" s="1" t="s">
        <v>136</v>
      </c>
      <c r="C289" s="1" t="n">
        <v>2024</v>
      </c>
      <c r="D289" s="1" t="s">
        <v>104</v>
      </c>
      <c r="E289" s="1" t="s">
        <v>90</v>
      </c>
      <c r="F289" s="1" t="n">
        <v>25.29</v>
      </c>
      <c r="G289" s="1" t="n">
        <v>39.63</v>
      </c>
      <c r="H289" s="1" t="n">
        <v>44.87</v>
      </c>
      <c r="I289" s="1" t="n">
        <v>31.69</v>
      </c>
      <c r="J289" s="1" t="n">
        <v>35.37</v>
      </c>
      <c r="K289" s="1" t="n">
        <v>64.63</v>
      </c>
      <c r="L289" s="1" t="s">
        <v>37</v>
      </c>
      <c r="M289" s="1" t="n">
        <v>1084.16</v>
      </c>
      <c r="N289" s="1" t="str">
        <f aca="false">IF(K289&gt;65,"High Risk",IF(K289&gt;=40,"Medium Risk","Low Risk"))</f>
        <v>Medium Risk</v>
      </c>
      <c r="O289" s="20" t="b">
        <f aca="false">AND(OR($D289=T1_Region,T1_Region="All Regions"),OR($E289=T1_Income,T1_Income="All Income Groups"))</f>
        <v>1</v>
      </c>
    </row>
    <row r="290" customFormat="false" ht="15" hidden="false" customHeight="true" outlineLevel="0" collapsed="false">
      <c r="A290" s="1" t="s">
        <v>137</v>
      </c>
      <c r="B290" s="1" t="s">
        <v>138</v>
      </c>
      <c r="C290" s="1" t="n">
        <v>2013</v>
      </c>
      <c r="D290" s="1" t="s">
        <v>89</v>
      </c>
      <c r="E290" s="1" t="s">
        <v>90</v>
      </c>
      <c r="F290" s="1" t="n">
        <v>25</v>
      </c>
      <c r="G290" s="1" t="n">
        <v>38.91</v>
      </c>
      <c r="H290" s="1" t="n">
        <v>42.15</v>
      </c>
      <c r="I290" s="1" t="n">
        <v>20.32</v>
      </c>
      <c r="J290" s="1" t="n">
        <v>31.6</v>
      </c>
      <c r="K290" s="1" t="n">
        <v>68.4</v>
      </c>
      <c r="L290" s="1" t="s">
        <v>37</v>
      </c>
      <c r="M290" s="1" t="n">
        <v>1225.43</v>
      </c>
      <c r="N290" s="1" t="str">
        <f aca="false">IF(K290&gt;65,"High Risk",IF(K290&gt;=40,"Medium Risk","Low Risk"))</f>
        <v>High Risk</v>
      </c>
      <c r="O290" s="20" t="b">
        <f aca="false">AND(OR($D290=T1_Region,T1_Region="All Regions"),OR($E290=T1_Income,T1_Income="All Income Groups"))</f>
        <v>1</v>
      </c>
    </row>
    <row r="291" customFormat="false" ht="15" hidden="false" customHeight="true" outlineLevel="0" collapsed="false">
      <c r="A291" s="1" t="s">
        <v>137</v>
      </c>
      <c r="B291" s="1" t="s">
        <v>138</v>
      </c>
      <c r="C291" s="1" t="n">
        <v>2014</v>
      </c>
      <c r="D291" s="1" t="s">
        <v>89</v>
      </c>
      <c r="E291" s="1" t="s">
        <v>90</v>
      </c>
      <c r="F291" s="1" t="n">
        <v>27.52</v>
      </c>
      <c r="G291" s="1" t="n">
        <v>40.26</v>
      </c>
      <c r="H291" s="1" t="n">
        <v>43.06</v>
      </c>
      <c r="I291" s="1" t="n">
        <v>23.84</v>
      </c>
      <c r="J291" s="1" t="n">
        <v>33.67</v>
      </c>
      <c r="K291" s="1" t="n">
        <v>66.33</v>
      </c>
      <c r="L291" s="1" t="s">
        <v>37</v>
      </c>
      <c r="M291" s="1" t="n">
        <v>1266.61</v>
      </c>
      <c r="N291" s="1" t="str">
        <f aca="false">IF(K291&gt;65,"High Risk",IF(K291&gt;=40,"Medium Risk","Low Risk"))</f>
        <v>High Risk</v>
      </c>
      <c r="O291" s="20" t="b">
        <f aca="false">AND(OR($D291=T1_Region,T1_Region="All Regions"),OR($E291=T1_Income,T1_Income="All Income Groups"))</f>
        <v>1</v>
      </c>
    </row>
    <row r="292" customFormat="false" ht="15" hidden="false" customHeight="true" outlineLevel="0" collapsed="false">
      <c r="A292" s="1" t="s">
        <v>137</v>
      </c>
      <c r="B292" s="1" t="s">
        <v>138</v>
      </c>
      <c r="C292" s="1" t="n">
        <v>2015</v>
      </c>
      <c r="D292" s="1" t="s">
        <v>89</v>
      </c>
      <c r="E292" s="1" t="s">
        <v>90</v>
      </c>
      <c r="F292" s="1" t="n">
        <v>28</v>
      </c>
      <c r="G292" s="1" t="n">
        <v>41.22</v>
      </c>
      <c r="H292" s="1" t="n">
        <v>44.04</v>
      </c>
      <c r="I292" s="1" t="n">
        <v>24.39</v>
      </c>
      <c r="J292" s="1" t="n">
        <v>34.41</v>
      </c>
      <c r="K292" s="1" t="n">
        <v>65.59</v>
      </c>
      <c r="L292" s="1" t="s">
        <v>37</v>
      </c>
      <c r="M292" s="1" t="n">
        <v>1380.47</v>
      </c>
      <c r="N292" s="1" t="str">
        <f aca="false">IF(K292&gt;65,"High Risk",IF(K292&gt;=40,"Medium Risk","Low Risk"))</f>
        <v>High Risk</v>
      </c>
      <c r="O292" s="20" t="b">
        <f aca="false">AND(OR($D292=T1_Region,T1_Region="All Regions"),OR($E292=T1_Income,T1_Income="All Income Groups"))</f>
        <v>1</v>
      </c>
    </row>
    <row r="293" customFormat="false" ht="15" hidden="false" customHeight="true" outlineLevel="0" collapsed="false">
      <c r="A293" s="1" t="s">
        <v>137</v>
      </c>
      <c r="B293" s="1" t="s">
        <v>138</v>
      </c>
      <c r="C293" s="1" t="n">
        <v>2016</v>
      </c>
      <c r="D293" s="1" t="s">
        <v>89</v>
      </c>
      <c r="E293" s="1" t="s">
        <v>90</v>
      </c>
      <c r="F293" s="1" t="n">
        <v>28.16</v>
      </c>
      <c r="G293" s="1" t="n">
        <v>41.25</v>
      </c>
      <c r="H293" s="1" t="n">
        <v>44.46</v>
      </c>
      <c r="I293" s="1" t="n">
        <v>26.01</v>
      </c>
      <c r="J293" s="1" t="n">
        <v>34.97</v>
      </c>
      <c r="K293" s="1" t="n">
        <v>65.03</v>
      </c>
      <c r="L293" s="1" t="s">
        <v>37</v>
      </c>
      <c r="M293" s="1" t="n">
        <v>1424.69</v>
      </c>
      <c r="N293" s="1" t="str">
        <f aca="false">IF(K293&gt;65,"High Risk",IF(K293&gt;=40,"Medium Risk","Low Risk"))</f>
        <v>High Risk</v>
      </c>
      <c r="O293" s="20" t="b">
        <f aca="false">AND(OR($D293=T1_Region,T1_Region="All Regions"),OR($E293=T1_Income,T1_Income="All Income Groups"))</f>
        <v>1</v>
      </c>
    </row>
    <row r="294" customFormat="false" ht="15" hidden="false" customHeight="true" outlineLevel="0" collapsed="false">
      <c r="A294" s="1" t="s">
        <v>137</v>
      </c>
      <c r="B294" s="1" t="s">
        <v>138</v>
      </c>
      <c r="C294" s="1" t="n">
        <v>2017</v>
      </c>
      <c r="D294" s="1" t="s">
        <v>89</v>
      </c>
      <c r="E294" s="1" t="s">
        <v>90</v>
      </c>
      <c r="F294" s="1" t="n">
        <v>28.93</v>
      </c>
      <c r="G294" s="1" t="n">
        <v>42.07</v>
      </c>
      <c r="H294" s="1" t="n">
        <v>44.39</v>
      </c>
      <c r="I294" s="1" t="n">
        <v>28</v>
      </c>
      <c r="J294" s="1" t="n">
        <v>35.85</v>
      </c>
      <c r="K294" s="1" t="n">
        <v>64.15</v>
      </c>
      <c r="L294" s="1" t="s">
        <v>37</v>
      </c>
      <c r="M294" s="1" t="n">
        <v>1519.23</v>
      </c>
      <c r="N294" s="1" t="str">
        <f aca="false">IF(K294&gt;65,"High Risk",IF(K294&gt;=40,"Medium Risk","Low Risk"))</f>
        <v>Medium Risk</v>
      </c>
      <c r="O294" s="20" t="b">
        <f aca="false">AND(OR($D294=T1_Region,T1_Region="All Regions"),OR($E294=T1_Income,T1_Income="All Income Groups"))</f>
        <v>1</v>
      </c>
    </row>
    <row r="295" customFormat="false" ht="15" hidden="false" customHeight="true" outlineLevel="0" collapsed="false">
      <c r="A295" s="1" t="s">
        <v>137</v>
      </c>
      <c r="B295" s="1" t="s">
        <v>138</v>
      </c>
      <c r="C295" s="1" t="n">
        <v>2018</v>
      </c>
      <c r="D295" s="1" t="s">
        <v>89</v>
      </c>
      <c r="E295" s="1" t="s">
        <v>90</v>
      </c>
      <c r="F295" s="1" t="n">
        <v>28.34</v>
      </c>
      <c r="G295" s="1" t="n">
        <v>42.51</v>
      </c>
      <c r="H295" s="1" t="n">
        <v>44.42</v>
      </c>
      <c r="I295" s="1" t="n">
        <v>31.97</v>
      </c>
      <c r="J295" s="1" t="n">
        <v>36.81</v>
      </c>
      <c r="K295" s="1" t="n">
        <v>63.19</v>
      </c>
      <c r="L295" s="1" t="s">
        <v>37</v>
      </c>
      <c r="M295" s="1" t="n">
        <v>1569.34</v>
      </c>
      <c r="N295" s="1" t="str">
        <f aca="false">IF(K295&gt;65,"High Risk",IF(K295&gt;=40,"Medium Risk","Low Risk"))</f>
        <v>Medium Risk</v>
      </c>
      <c r="O295" s="20" t="b">
        <f aca="false">AND(OR($D295=T1_Region,T1_Region="All Regions"),OR($E295=T1_Income,T1_Income="All Income Groups"))</f>
        <v>1</v>
      </c>
    </row>
    <row r="296" customFormat="false" ht="15" hidden="false" customHeight="true" outlineLevel="0" collapsed="false">
      <c r="A296" s="1" t="s">
        <v>137</v>
      </c>
      <c r="B296" s="1" t="s">
        <v>138</v>
      </c>
      <c r="C296" s="1" t="n">
        <v>2019</v>
      </c>
      <c r="D296" s="1" t="s">
        <v>89</v>
      </c>
      <c r="E296" s="1" t="s">
        <v>90</v>
      </c>
      <c r="F296" s="1" t="n">
        <v>28.19</v>
      </c>
      <c r="G296" s="1" t="n">
        <v>42.99</v>
      </c>
      <c r="H296" s="1" t="n">
        <v>45.08</v>
      </c>
      <c r="I296" s="1" t="n">
        <v>32.94</v>
      </c>
      <c r="J296" s="1" t="n">
        <v>37.3</v>
      </c>
      <c r="K296" s="1" t="n">
        <v>62.7</v>
      </c>
      <c r="L296" s="1" t="s">
        <v>37</v>
      </c>
      <c r="M296" s="1" t="n">
        <v>1390.42</v>
      </c>
      <c r="N296" s="1" t="str">
        <f aca="false">IF(K296&gt;65,"High Risk",IF(K296&gt;=40,"Medium Risk","Low Risk"))</f>
        <v>Medium Risk</v>
      </c>
      <c r="O296" s="20" t="b">
        <f aca="false">AND(OR($D296=T1_Region,T1_Region="All Regions"),OR($E296=T1_Income,T1_Income="All Income Groups"))</f>
        <v>1</v>
      </c>
    </row>
    <row r="297" customFormat="false" ht="15" hidden="false" customHeight="true" outlineLevel="0" collapsed="false">
      <c r="A297" s="1" t="s">
        <v>137</v>
      </c>
      <c r="B297" s="1" t="s">
        <v>138</v>
      </c>
      <c r="C297" s="1" t="n">
        <v>2020</v>
      </c>
      <c r="D297" s="1" t="s">
        <v>89</v>
      </c>
      <c r="E297" s="1" t="s">
        <v>90</v>
      </c>
      <c r="F297" s="1" t="n">
        <v>28.89</v>
      </c>
      <c r="G297" s="1" t="n">
        <v>42.97</v>
      </c>
      <c r="H297" s="1" t="n">
        <v>43.81</v>
      </c>
      <c r="I297" s="1" t="n">
        <v>38.77</v>
      </c>
      <c r="J297" s="1" t="n">
        <v>38.61</v>
      </c>
      <c r="K297" s="1" t="n">
        <v>61.39</v>
      </c>
      <c r="L297" s="1" t="s">
        <v>37</v>
      </c>
      <c r="M297" s="1" t="n">
        <v>1278.4</v>
      </c>
      <c r="N297" s="1" t="str">
        <f aca="false">IF(K297&gt;65,"High Risk",IF(K297&gt;=40,"Medium Risk","Low Risk"))</f>
        <v>Medium Risk</v>
      </c>
      <c r="O297" s="20" t="b">
        <f aca="false">AND(OR($D297=T1_Region,T1_Region="All Regions"),OR($E297=T1_Income,T1_Income="All Income Groups"))</f>
        <v>1</v>
      </c>
    </row>
    <row r="298" customFormat="false" ht="15" hidden="false" customHeight="true" outlineLevel="0" collapsed="false">
      <c r="A298" s="1" t="s">
        <v>137</v>
      </c>
      <c r="B298" s="1" t="s">
        <v>138</v>
      </c>
      <c r="C298" s="1" t="n">
        <v>2021</v>
      </c>
      <c r="D298" s="1" t="s">
        <v>89</v>
      </c>
      <c r="E298" s="1" t="s">
        <v>90</v>
      </c>
      <c r="F298" s="1" t="n">
        <v>29.51</v>
      </c>
      <c r="G298" s="1" t="n">
        <v>42.8</v>
      </c>
      <c r="H298" s="1" t="n">
        <v>44.54</v>
      </c>
      <c r="I298" s="1" t="n">
        <v>37.72</v>
      </c>
      <c r="J298" s="1" t="n">
        <v>38.64</v>
      </c>
      <c r="K298" s="1" t="n">
        <v>61.36</v>
      </c>
      <c r="L298" s="1" t="s">
        <v>37</v>
      </c>
      <c r="M298" s="1" t="n">
        <v>1455.32</v>
      </c>
      <c r="N298" s="1" t="str">
        <f aca="false">IF(K298&gt;65,"High Risk",IF(K298&gt;=40,"Medium Risk","Low Risk"))</f>
        <v>Medium Risk</v>
      </c>
      <c r="O298" s="20" t="b">
        <f aca="false">AND(OR($D298=T1_Region,T1_Region="All Regions"),OR($E298=T1_Income,T1_Income="All Income Groups"))</f>
        <v>1</v>
      </c>
    </row>
    <row r="299" customFormat="false" ht="15" hidden="false" customHeight="true" outlineLevel="0" collapsed="false">
      <c r="A299" s="1" t="s">
        <v>137</v>
      </c>
      <c r="B299" s="1" t="s">
        <v>138</v>
      </c>
      <c r="C299" s="1" t="n">
        <v>2022</v>
      </c>
      <c r="D299" s="1" t="s">
        <v>89</v>
      </c>
      <c r="E299" s="1" t="s">
        <v>90</v>
      </c>
      <c r="F299" s="1" t="n">
        <v>28.71</v>
      </c>
      <c r="G299" s="1" t="n">
        <v>41.29</v>
      </c>
      <c r="H299" s="1" t="n">
        <v>42.79</v>
      </c>
      <c r="I299" s="1" t="n">
        <v>35.91</v>
      </c>
      <c r="J299" s="1" t="n">
        <v>37.17</v>
      </c>
      <c r="K299" s="1" t="n">
        <v>62.83</v>
      </c>
      <c r="L299" s="1" t="s">
        <v>37</v>
      </c>
      <c r="M299" s="1" t="n">
        <v>1538.32</v>
      </c>
      <c r="N299" s="1" t="str">
        <f aca="false">IF(K299&gt;65,"High Risk",IF(K299&gt;=40,"Medium Risk","Low Risk"))</f>
        <v>Medium Risk</v>
      </c>
      <c r="O299" s="20" t="b">
        <f aca="false">AND(OR($D299=T1_Region,T1_Region="All Regions"),OR($E299=T1_Income,T1_Income="All Income Groups"))</f>
        <v>1</v>
      </c>
    </row>
    <row r="300" customFormat="false" ht="15" hidden="false" customHeight="true" outlineLevel="0" collapsed="false">
      <c r="A300" s="1" t="s">
        <v>137</v>
      </c>
      <c r="B300" s="1" t="s">
        <v>138</v>
      </c>
      <c r="C300" s="1" t="n">
        <v>2023</v>
      </c>
      <c r="D300" s="1" t="s">
        <v>89</v>
      </c>
      <c r="E300" s="1" t="s">
        <v>90</v>
      </c>
      <c r="F300" s="1" t="n">
        <v>26.68</v>
      </c>
      <c r="G300" s="1" t="n">
        <v>39.68</v>
      </c>
      <c r="H300" s="1" t="n">
        <v>41.9</v>
      </c>
      <c r="I300" s="1" t="n">
        <v>32.75</v>
      </c>
      <c r="J300" s="1" t="n">
        <v>35.25</v>
      </c>
      <c r="K300" s="1" t="n">
        <v>64.75</v>
      </c>
      <c r="L300" s="1" t="s">
        <v>37</v>
      </c>
      <c r="M300" s="1" t="n">
        <v>1360.32</v>
      </c>
      <c r="N300" s="1" t="str">
        <f aca="false">IF(K300&gt;65,"High Risk",IF(K300&gt;=40,"Medium Risk","Low Risk"))</f>
        <v>Medium Risk</v>
      </c>
      <c r="O300" s="20" t="b">
        <f aca="false">AND(OR($D300=T1_Region,T1_Region="All Regions"),OR($E300=T1_Income,T1_Income="All Income Groups"))</f>
        <v>1</v>
      </c>
    </row>
    <row r="301" customFormat="false" ht="15" hidden="false" customHeight="true" outlineLevel="0" collapsed="false">
      <c r="A301" s="1" t="s">
        <v>137</v>
      </c>
      <c r="B301" s="1" t="s">
        <v>138</v>
      </c>
      <c r="C301" s="1" t="n">
        <v>2024</v>
      </c>
      <c r="D301" s="1" t="s">
        <v>89</v>
      </c>
      <c r="E301" s="1" t="s">
        <v>90</v>
      </c>
      <c r="F301" s="1" t="n">
        <v>26.28</v>
      </c>
      <c r="G301" s="1" t="n">
        <v>39.46</v>
      </c>
      <c r="H301" s="1" t="n">
        <v>42.36</v>
      </c>
      <c r="I301" s="1" t="n">
        <v>30.65</v>
      </c>
      <c r="J301" s="1" t="n">
        <v>34.69</v>
      </c>
      <c r="K301" s="1" t="n">
        <v>65.31</v>
      </c>
      <c r="L301" s="1" t="s">
        <v>37</v>
      </c>
      <c r="M301" s="1" t="n">
        <v>1479.48</v>
      </c>
      <c r="N301" s="1" t="str">
        <f aca="false">IF(K301&gt;65,"High Risk",IF(K301&gt;=40,"Medium Risk","Low Risk"))</f>
        <v>High Risk</v>
      </c>
      <c r="O301" s="20" t="b">
        <f aca="false">AND(OR($D301=T1_Region,T1_Region="All Regions"),OR($E301=T1_Income,T1_Income="All Income Groups"))</f>
        <v>1</v>
      </c>
    </row>
    <row r="302" customFormat="false" ht="15" hidden="false" customHeight="true" outlineLevel="0" collapsed="false">
      <c r="A302" s="1" t="s">
        <v>139</v>
      </c>
      <c r="B302" s="1" t="s">
        <v>140</v>
      </c>
      <c r="C302" s="1" t="n">
        <v>2013</v>
      </c>
      <c r="D302" s="1" t="s">
        <v>85</v>
      </c>
      <c r="E302" s="1" t="s">
        <v>90</v>
      </c>
      <c r="F302" s="1" t="n">
        <v>37.77</v>
      </c>
      <c r="G302" s="1" t="n">
        <v>48.88</v>
      </c>
      <c r="H302" s="1" t="n">
        <v>55.36</v>
      </c>
      <c r="I302" s="1" t="n">
        <v>47.2</v>
      </c>
      <c r="J302" s="1" t="n">
        <v>47.3</v>
      </c>
      <c r="K302" s="1" t="n">
        <v>52.7</v>
      </c>
      <c r="L302" s="1" t="s">
        <v>37</v>
      </c>
      <c r="M302" s="1" t="n">
        <v>2781.28</v>
      </c>
      <c r="N302" s="1" t="str">
        <f aca="false">IF(K302&gt;65,"High Risk",IF(K302&gt;=40,"Medium Risk","Low Risk"))</f>
        <v>Medium Risk</v>
      </c>
      <c r="O302" s="20" t="b">
        <f aca="false">AND(OR($D302=T1_Region,T1_Region="All Regions"),OR($E302=T1_Income,T1_Income="All Income Groups"))</f>
        <v>1</v>
      </c>
    </row>
    <row r="303" customFormat="false" ht="15" hidden="false" customHeight="true" outlineLevel="0" collapsed="false">
      <c r="A303" s="1" t="s">
        <v>139</v>
      </c>
      <c r="B303" s="1" t="s">
        <v>140</v>
      </c>
      <c r="C303" s="1" t="n">
        <v>2014</v>
      </c>
      <c r="D303" s="1" t="s">
        <v>85</v>
      </c>
      <c r="E303" s="1" t="s">
        <v>90</v>
      </c>
      <c r="F303" s="1" t="n">
        <v>36.06</v>
      </c>
      <c r="G303" s="1" t="n">
        <v>50.75</v>
      </c>
      <c r="H303" s="1" t="n">
        <v>55.8</v>
      </c>
      <c r="I303" s="1" t="n">
        <v>52.13</v>
      </c>
      <c r="J303" s="1" t="n">
        <v>48.69</v>
      </c>
      <c r="K303" s="1" t="n">
        <v>51.31</v>
      </c>
      <c r="L303" s="1" t="s">
        <v>37</v>
      </c>
      <c r="M303" s="1" t="n">
        <v>2866.84</v>
      </c>
      <c r="N303" s="1" t="str">
        <f aca="false">IF(K303&gt;65,"High Risk",IF(K303&gt;=40,"Medium Risk","Low Risk"))</f>
        <v>Medium Risk</v>
      </c>
      <c r="O303" s="20" t="b">
        <f aca="false">AND(OR($D303=T1_Region,T1_Region="All Regions"),OR($E303=T1_Income,T1_Income="All Income Groups"))</f>
        <v>1</v>
      </c>
    </row>
    <row r="304" customFormat="false" ht="15" hidden="false" customHeight="true" outlineLevel="0" collapsed="false">
      <c r="A304" s="1" t="s">
        <v>139</v>
      </c>
      <c r="B304" s="1" t="s">
        <v>140</v>
      </c>
      <c r="C304" s="1" t="n">
        <v>2015</v>
      </c>
      <c r="D304" s="1" t="s">
        <v>85</v>
      </c>
      <c r="E304" s="1" t="s">
        <v>90</v>
      </c>
      <c r="F304" s="1" t="n">
        <v>35.9</v>
      </c>
      <c r="G304" s="1" t="n">
        <v>49.56</v>
      </c>
      <c r="H304" s="1" t="n">
        <v>56.25</v>
      </c>
      <c r="I304" s="1" t="n">
        <v>50.06</v>
      </c>
      <c r="J304" s="1" t="n">
        <v>47.94</v>
      </c>
      <c r="K304" s="1" t="n">
        <v>52.06</v>
      </c>
      <c r="L304" s="1" t="s">
        <v>37</v>
      </c>
      <c r="M304" s="1" t="n">
        <v>2909.86</v>
      </c>
      <c r="N304" s="1" t="str">
        <f aca="false">IF(K304&gt;65,"High Risk",IF(K304&gt;=40,"Medium Risk","Low Risk"))</f>
        <v>Medium Risk</v>
      </c>
      <c r="O304" s="20" t="b">
        <f aca="false">AND(OR($D304=T1_Region,T1_Region="All Regions"),OR($E304=T1_Income,T1_Income="All Income Groups"))</f>
        <v>1</v>
      </c>
    </row>
    <row r="305" customFormat="false" ht="15" hidden="false" customHeight="true" outlineLevel="0" collapsed="false">
      <c r="A305" s="1" t="s">
        <v>139</v>
      </c>
      <c r="B305" s="1" t="s">
        <v>140</v>
      </c>
      <c r="C305" s="1" t="n">
        <v>2016</v>
      </c>
      <c r="D305" s="1" t="s">
        <v>85</v>
      </c>
      <c r="E305" s="1" t="s">
        <v>90</v>
      </c>
      <c r="F305" s="1" t="n">
        <v>35.44</v>
      </c>
      <c r="G305" s="1" t="n">
        <v>48.82</v>
      </c>
      <c r="H305" s="1" t="n">
        <v>56.85</v>
      </c>
      <c r="I305" s="1" t="n">
        <v>41.34</v>
      </c>
      <c r="J305" s="1" t="n">
        <v>45.61</v>
      </c>
      <c r="K305" s="1" t="n">
        <v>54.39</v>
      </c>
      <c r="L305" s="1" t="s">
        <v>37</v>
      </c>
      <c r="M305" s="1" t="n">
        <v>2985.2</v>
      </c>
      <c r="N305" s="1" t="str">
        <f aca="false">IF(K305&gt;65,"High Risk",IF(K305&gt;=40,"Medium Risk","Low Risk"))</f>
        <v>Medium Risk</v>
      </c>
      <c r="O305" s="20" t="b">
        <f aca="false">AND(OR($D305=T1_Region,T1_Region="All Regions"),OR($E305=T1_Income,T1_Income="All Income Groups"))</f>
        <v>1</v>
      </c>
    </row>
    <row r="306" customFormat="false" ht="15" hidden="false" customHeight="true" outlineLevel="0" collapsed="false">
      <c r="A306" s="1" t="s">
        <v>139</v>
      </c>
      <c r="B306" s="1" t="s">
        <v>140</v>
      </c>
      <c r="C306" s="1" t="n">
        <v>2017</v>
      </c>
      <c r="D306" s="1" t="s">
        <v>85</v>
      </c>
      <c r="E306" s="1" t="s">
        <v>90</v>
      </c>
      <c r="F306" s="1" t="n">
        <v>34.96</v>
      </c>
      <c r="G306" s="1" t="n">
        <v>46.79</v>
      </c>
      <c r="H306" s="1" t="n">
        <v>57.02</v>
      </c>
      <c r="I306" s="1" t="n">
        <v>44.04</v>
      </c>
      <c r="J306" s="1" t="n">
        <v>45.7</v>
      </c>
      <c r="K306" s="1" t="n">
        <v>54.3</v>
      </c>
      <c r="L306" s="1" t="s">
        <v>37</v>
      </c>
      <c r="M306" s="1" t="n">
        <v>3038.12</v>
      </c>
      <c r="N306" s="1" t="str">
        <f aca="false">IF(K306&gt;65,"High Risk",IF(K306&gt;=40,"Medium Risk","Low Risk"))</f>
        <v>Medium Risk</v>
      </c>
      <c r="O306" s="20" t="b">
        <f aca="false">AND(OR($D306=T1_Region,T1_Region="All Regions"),OR($E306=T1_Income,T1_Income="All Income Groups"))</f>
        <v>1</v>
      </c>
    </row>
    <row r="307" customFormat="false" ht="15" hidden="false" customHeight="true" outlineLevel="0" collapsed="false">
      <c r="A307" s="1" t="s">
        <v>139</v>
      </c>
      <c r="B307" s="1" t="s">
        <v>140</v>
      </c>
      <c r="C307" s="1" t="n">
        <v>2018</v>
      </c>
      <c r="D307" s="1" t="s">
        <v>85</v>
      </c>
      <c r="E307" s="1" t="s">
        <v>90</v>
      </c>
      <c r="F307" s="1" t="n">
        <v>34.92</v>
      </c>
      <c r="G307" s="1" t="n">
        <v>45.95</v>
      </c>
      <c r="H307" s="1" t="n">
        <v>54.78</v>
      </c>
      <c r="I307" s="1" t="n">
        <v>47.67</v>
      </c>
      <c r="J307" s="1" t="n">
        <v>45.83</v>
      </c>
      <c r="K307" s="1" t="n">
        <v>54.17</v>
      </c>
      <c r="L307" s="1" t="s">
        <v>37</v>
      </c>
      <c r="M307" s="1" t="n">
        <v>3168.51</v>
      </c>
      <c r="N307" s="1" t="str">
        <f aca="false">IF(K307&gt;65,"High Risk",IF(K307&gt;=40,"Medium Risk","Low Risk"))</f>
        <v>Medium Risk</v>
      </c>
      <c r="O307" s="20" t="b">
        <f aca="false">AND(OR($D307=T1_Region,T1_Region="All Regions"),OR($E307=T1_Income,T1_Income="All Income Groups"))</f>
        <v>1</v>
      </c>
    </row>
    <row r="308" customFormat="false" ht="15" hidden="false" customHeight="true" outlineLevel="0" collapsed="false">
      <c r="A308" s="1" t="s">
        <v>139</v>
      </c>
      <c r="B308" s="1" t="s">
        <v>140</v>
      </c>
      <c r="C308" s="1" t="n">
        <v>2019</v>
      </c>
      <c r="D308" s="1" t="s">
        <v>85</v>
      </c>
      <c r="E308" s="1" t="s">
        <v>90</v>
      </c>
      <c r="F308" s="1" t="n">
        <v>35.48</v>
      </c>
      <c r="G308" s="1" t="n">
        <v>45.83</v>
      </c>
      <c r="H308" s="1" t="n">
        <v>55.79</v>
      </c>
      <c r="I308" s="1" t="n">
        <v>48.65</v>
      </c>
      <c r="J308" s="1" t="n">
        <v>46.44</v>
      </c>
      <c r="K308" s="1" t="n">
        <v>53.56</v>
      </c>
      <c r="L308" s="1" t="s">
        <v>37</v>
      </c>
      <c r="M308" s="1" t="n">
        <v>3400.79</v>
      </c>
      <c r="N308" s="1" t="str">
        <f aca="false">IF(K308&gt;65,"High Risk",IF(K308&gt;=40,"Medium Risk","Low Risk"))</f>
        <v>Medium Risk</v>
      </c>
      <c r="O308" s="20" t="b">
        <f aca="false">AND(OR($D308=T1_Region,T1_Region="All Regions"),OR($E308=T1_Income,T1_Income="All Income Groups"))</f>
        <v>1</v>
      </c>
    </row>
    <row r="309" customFormat="false" ht="15" hidden="false" customHeight="true" outlineLevel="0" collapsed="false">
      <c r="A309" s="1" t="s">
        <v>139</v>
      </c>
      <c r="B309" s="1" t="s">
        <v>140</v>
      </c>
      <c r="C309" s="1" t="n">
        <v>2020</v>
      </c>
      <c r="D309" s="1" t="s">
        <v>85</v>
      </c>
      <c r="E309" s="1" t="s">
        <v>90</v>
      </c>
      <c r="F309" s="1" t="n">
        <v>36.94</v>
      </c>
      <c r="G309" s="1" t="n">
        <v>46.07</v>
      </c>
      <c r="H309" s="1" t="n">
        <v>55.09</v>
      </c>
      <c r="I309" s="1" t="n">
        <v>49.81</v>
      </c>
      <c r="J309" s="1" t="n">
        <v>46.98</v>
      </c>
      <c r="K309" s="1" t="n">
        <v>53.02</v>
      </c>
      <c r="L309" s="1" t="s">
        <v>37</v>
      </c>
      <c r="M309" s="1" t="n">
        <v>3227.58</v>
      </c>
      <c r="N309" s="1" t="str">
        <f aca="false">IF(K309&gt;65,"High Risk",IF(K309&gt;=40,"Medium Risk","Low Risk"))</f>
        <v>Medium Risk</v>
      </c>
      <c r="O309" s="20" t="b">
        <f aca="false">AND(OR($D309=T1_Region,T1_Region="All Regions"),OR($E309=T1_Income,T1_Income="All Income Groups"))</f>
        <v>1</v>
      </c>
    </row>
    <row r="310" customFormat="false" ht="15" hidden="false" customHeight="true" outlineLevel="0" collapsed="false">
      <c r="A310" s="1" t="s">
        <v>139</v>
      </c>
      <c r="B310" s="1" t="s">
        <v>140</v>
      </c>
      <c r="C310" s="1" t="n">
        <v>2021</v>
      </c>
      <c r="D310" s="1" t="s">
        <v>85</v>
      </c>
      <c r="E310" s="1" t="s">
        <v>90</v>
      </c>
      <c r="F310" s="1" t="n">
        <v>36.23</v>
      </c>
      <c r="G310" s="1" t="n">
        <v>45.37</v>
      </c>
      <c r="H310" s="1" t="n">
        <v>55.1</v>
      </c>
      <c r="I310" s="1" t="n">
        <v>47.21</v>
      </c>
      <c r="J310" s="1" t="n">
        <v>45.98</v>
      </c>
      <c r="K310" s="1" t="n">
        <v>54.02</v>
      </c>
      <c r="L310" s="1" t="s">
        <v>37</v>
      </c>
      <c r="M310" s="1" t="n">
        <v>3484.39</v>
      </c>
      <c r="N310" s="1" t="str">
        <f aca="false">IF(K310&gt;65,"High Risk",IF(K310&gt;=40,"Medium Risk","Low Risk"))</f>
        <v>Medium Risk</v>
      </c>
      <c r="O310" s="20" t="b">
        <f aca="false">AND(OR($D310=T1_Region,T1_Region="All Regions"),OR($E310=T1_Income,T1_Income="All Income Groups"))</f>
        <v>1</v>
      </c>
    </row>
    <row r="311" customFormat="false" ht="15" hidden="false" customHeight="true" outlineLevel="0" collapsed="false">
      <c r="A311" s="1" t="s">
        <v>139</v>
      </c>
      <c r="B311" s="1" t="s">
        <v>140</v>
      </c>
      <c r="C311" s="1" t="n">
        <v>2022</v>
      </c>
      <c r="D311" s="1" t="s">
        <v>85</v>
      </c>
      <c r="E311" s="1" t="s">
        <v>90</v>
      </c>
      <c r="F311" s="1" t="n">
        <v>36.17</v>
      </c>
      <c r="G311" s="1" t="n">
        <v>46.08</v>
      </c>
      <c r="H311" s="1" t="n">
        <v>54.94</v>
      </c>
      <c r="I311" s="1" t="n">
        <v>50.54</v>
      </c>
      <c r="J311" s="1" t="n">
        <v>46.93</v>
      </c>
      <c r="K311" s="1" t="n">
        <v>53.07</v>
      </c>
      <c r="L311" s="1" t="s">
        <v>37</v>
      </c>
      <c r="M311" s="1" t="n">
        <v>3548.07</v>
      </c>
      <c r="N311" s="1" t="str">
        <f aca="false">IF(K311&gt;65,"High Risk",IF(K311&gt;=40,"Medium Risk","Low Risk"))</f>
        <v>Medium Risk</v>
      </c>
      <c r="O311" s="20" t="b">
        <f aca="false">AND(OR($D311=T1_Region,T1_Region="All Regions"),OR($E311=T1_Income,T1_Income="All Income Groups"))</f>
        <v>1</v>
      </c>
    </row>
    <row r="312" customFormat="false" ht="15" hidden="false" customHeight="true" outlineLevel="0" collapsed="false">
      <c r="A312" s="1" t="s">
        <v>139</v>
      </c>
      <c r="B312" s="1" t="s">
        <v>140</v>
      </c>
      <c r="C312" s="1" t="n">
        <v>2023</v>
      </c>
      <c r="D312" s="1" t="s">
        <v>85</v>
      </c>
      <c r="E312" s="1" t="s">
        <v>90</v>
      </c>
      <c r="F312" s="1" t="n">
        <v>36.34</v>
      </c>
      <c r="G312" s="1" t="n">
        <v>46.62</v>
      </c>
      <c r="H312" s="1" t="n">
        <v>55.86</v>
      </c>
      <c r="I312" s="1" t="n">
        <v>53.78</v>
      </c>
      <c r="J312" s="1" t="n">
        <v>48.15</v>
      </c>
      <c r="K312" s="1" t="n">
        <v>51.85</v>
      </c>
      <c r="L312" s="1" t="s">
        <v>37</v>
      </c>
      <c r="M312" s="1" t="n">
        <v>3804.08</v>
      </c>
      <c r="N312" s="1" t="str">
        <f aca="false">IF(K312&gt;65,"High Risk",IF(K312&gt;=40,"Medium Risk","Low Risk"))</f>
        <v>Medium Risk</v>
      </c>
      <c r="O312" s="20" t="b">
        <f aca="false">AND(OR($D312=T1_Region,T1_Region="All Regions"),OR($E312=T1_Income,T1_Income="All Income Groups"))</f>
        <v>1</v>
      </c>
    </row>
    <row r="313" customFormat="false" ht="15" hidden="false" customHeight="true" outlineLevel="0" collapsed="false">
      <c r="A313" s="1" t="s">
        <v>139</v>
      </c>
      <c r="B313" s="1" t="s">
        <v>140</v>
      </c>
      <c r="C313" s="1" t="n">
        <v>2024</v>
      </c>
      <c r="D313" s="1" t="s">
        <v>85</v>
      </c>
      <c r="E313" s="1" t="s">
        <v>90</v>
      </c>
      <c r="F313" s="1" t="n">
        <v>36.18</v>
      </c>
      <c r="G313" s="1" t="n">
        <v>47.09</v>
      </c>
      <c r="H313" s="1" t="n">
        <v>56.11</v>
      </c>
      <c r="I313" s="1" t="n">
        <v>52.67</v>
      </c>
      <c r="J313" s="1" t="n">
        <v>48.01</v>
      </c>
      <c r="K313" s="1" t="n">
        <v>51.99</v>
      </c>
      <c r="L313" s="1" t="s">
        <v>37</v>
      </c>
      <c r="M313" s="1" t="n">
        <v>3985.29</v>
      </c>
      <c r="N313" s="1" t="str">
        <f aca="false">IF(K313&gt;65,"High Risk",IF(K313&gt;=40,"Medium Risk","Low Risk"))</f>
        <v>Medium Risk</v>
      </c>
      <c r="O313" s="20" t="b">
        <f aca="false">AND(OR($D313=T1_Region,T1_Region="All Regions"),OR($E313=T1_Income,T1_Income="All Income Groups"))</f>
        <v>1</v>
      </c>
    </row>
    <row r="314" customFormat="false" ht="15" hidden="false" customHeight="true" outlineLevel="0" collapsed="false">
      <c r="A314" s="1" t="s">
        <v>141</v>
      </c>
      <c r="B314" s="1" t="s">
        <v>142</v>
      </c>
      <c r="C314" s="1" t="n">
        <v>2013</v>
      </c>
      <c r="D314" s="1" t="s">
        <v>113</v>
      </c>
      <c r="E314" s="1" t="s">
        <v>86</v>
      </c>
      <c r="F314" s="1" t="n">
        <v>64.19</v>
      </c>
      <c r="G314" s="1" t="n">
        <v>71.11</v>
      </c>
      <c r="H314" s="1" t="n">
        <v>69.09</v>
      </c>
      <c r="I314" s="1" t="n">
        <v>82.06</v>
      </c>
      <c r="J314" s="1" t="n">
        <v>71.61</v>
      </c>
      <c r="K314" s="1" t="n">
        <v>28.39</v>
      </c>
      <c r="L314" s="1" t="s">
        <v>38</v>
      </c>
      <c r="M314" s="1" t="n">
        <v>13621.9</v>
      </c>
      <c r="N314" s="1" t="str">
        <f aca="false">IF(K314&gt;65,"High Risk",IF(K314&gt;=40,"Medium Risk","Low Risk"))</f>
        <v>Low Risk</v>
      </c>
      <c r="O314" s="20" t="b">
        <f aca="false">AND(OR($D314=T1_Region,T1_Region="All Regions"),OR($E314=T1_Income,T1_Income="All Income Groups"))</f>
        <v>1</v>
      </c>
    </row>
    <row r="315" customFormat="false" ht="15" hidden="false" customHeight="true" outlineLevel="0" collapsed="false">
      <c r="A315" s="1" t="s">
        <v>141</v>
      </c>
      <c r="B315" s="1" t="s">
        <v>142</v>
      </c>
      <c r="C315" s="1" t="n">
        <v>2014</v>
      </c>
      <c r="D315" s="1" t="s">
        <v>113</v>
      </c>
      <c r="E315" s="1" t="s">
        <v>86</v>
      </c>
      <c r="F315" s="1" t="n">
        <v>63.52</v>
      </c>
      <c r="G315" s="1" t="n">
        <v>72.13</v>
      </c>
      <c r="H315" s="1" t="n">
        <v>68.52</v>
      </c>
      <c r="I315" s="1" t="n">
        <v>83.9</v>
      </c>
      <c r="J315" s="1" t="n">
        <v>72.02</v>
      </c>
      <c r="K315" s="1" t="n">
        <v>27.98</v>
      </c>
      <c r="L315" s="1" t="s">
        <v>38</v>
      </c>
      <c r="M315" s="1" t="n">
        <v>14262.28</v>
      </c>
      <c r="N315" s="1" t="str">
        <f aca="false">IF(K315&gt;65,"High Risk",IF(K315&gt;=40,"Medium Risk","Low Risk"))</f>
        <v>Low Risk</v>
      </c>
      <c r="O315" s="20" t="b">
        <f aca="false">AND(OR($D315=T1_Region,T1_Region="All Regions"),OR($E315=T1_Income,T1_Income="All Income Groups"))</f>
        <v>1</v>
      </c>
    </row>
    <row r="316" customFormat="false" ht="15" hidden="false" customHeight="true" outlineLevel="0" collapsed="false">
      <c r="A316" s="1" t="s">
        <v>141</v>
      </c>
      <c r="B316" s="1" t="s">
        <v>142</v>
      </c>
      <c r="C316" s="1" t="n">
        <v>2015</v>
      </c>
      <c r="D316" s="1" t="s">
        <v>113</v>
      </c>
      <c r="E316" s="1" t="s">
        <v>86</v>
      </c>
      <c r="F316" s="1" t="n">
        <v>64.77</v>
      </c>
      <c r="G316" s="1" t="n">
        <v>71.35</v>
      </c>
      <c r="H316" s="1" t="n">
        <v>67.67</v>
      </c>
      <c r="I316" s="1" t="n">
        <v>84.06</v>
      </c>
      <c r="J316" s="1" t="n">
        <v>71.96</v>
      </c>
      <c r="K316" s="1" t="n">
        <v>28.04</v>
      </c>
      <c r="L316" s="1" t="s">
        <v>38</v>
      </c>
      <c r="M316" s="1" t="n">
        <v>12637.52</v>
      </c>
      <c r="N316" s="1" t="str">
        <f aca="false">IF(K316&gt;65,"High Risk",IF(K316&gt;=40,"Medium Risk","Low Risk"))</f>
        <v>Low Risk</v>
      </c>
      <c r="O316" s="20" t="b">
        <f aca="false">AND(OR($D316=T1_Region,T1_Region="All Regions"),OR($E316=T1_Income,T1_Income="All Income Groups"))</f>
        <v>1</v>
      </c>
    </row>
    <row r="317" customFormat="false" ht="15" hidden="false" customHeight="true" outlineLevel="0" collapsed="false">
      <c r="A317" s="1" t="s">
        <v>141</v>
      </c>
      <c r="B317" s="1" t="s">
        <v>142</v>
      </c>
      <c r="C317" s="1" t="n">
        <v>2016</v>
      </c>
      <c r="D317" s="1" t="s">
        <v>113</v>
      </c>
      <c r="E317" s="1" t="s">
        <v>86</v>
      </c>
      <c r="F317" s="1" t="n">
        <v>65.48</v>
      </c>
      <c r="G317" s="1" t="n">
        <v>69.95</v>
      </c>
      <c r="H317" s="1" t="n">
        <v>67.66</v>
      </c>
      <c r="I317" s="1" t="n">
        <v>75.65</v>
      </c>
      <c r="J317" s="1" t="n">
        <v>69.68</v>
      </c>
      <c r="K317" s="1" t="n">
        <v>30.32</v>
      </c>
      <c r="L317" s="1" t="s">
        <v>38</v>
      </c>
      <c r="M317" s="1" t="n">
        <v>12464.01</v>
      </c>
      <c r="N317" s="1" t="str">
        <f aca="false">IF(K317&gt;65,"High Risk",IF(K317&gt;=40,"Medium Risk","Low Risk"))</f>
        <v>Low Risk</v>
      </c>
      <c r="O317" s="20" t="b">
        <f aca="false">AND(OR($D317=T1_Region,T1_Region="All Regions"),OR($E317=T1_Income,T1_Income="All Income Groups"))</f>
        <v>1</v>
      </c>
    </row>
    <row r="318" customFormat="false" ht="15" hidden="false" customHeight="true" outlineLevel="0" collapsed="false">
      <c r="A318" s="1" t="s">
        <v>141</v>
      </c>
      <c r="B318" s="1" t="s">
        <v>142</v>
      </c>
      <c r="C318" s="1" t="n">
        <v>2017</v>
      </c>
      <c r="D318" s="1" t="s">
        <v>113</v>
      </c>
      <c r="E318" s="1" t="s">
        <v>86</v>
      </c>
      <c r="F318" s="1" t="n">
        <v>64.64</v>
      </c>
      <c r="G318" s="1" t="n">
        <v>67.62</v>
      </c>
      <c r="H318" s="1" t="n">
        <v>66.25</v>
      </c>
      <c r="I318" s="1" t="n">
        <v>76.18</v>
      </c>
      <c r="J318" s="1" t="n">
        <v>68.67</v>
      </c>
      <c r="K318" s="1" t="n">
        <v>31.33</v>
      </c>
      <c r="L318" s="1" t="s">
        <v>38</v>
      </c>
      <c r="M318" s="1" t="n">
        <v>13913.34</v>
      </c>
      <c r="N318" s="1" t="str">
        <f aca="false">IF(K318&gt;65,"High Risk",IF(K318&gt;=40,"Medium Risk","Low Risk"))</f>
        <v>Low Risk</v>
      </c>
      <c r="O318" s="20" t="b">
        <f aca="false">AND(OR($D318=T1_Region,T1_Region="All Regions"),OR($E318=T1_Income,T1_Income="All Income Groups"))</f>
        <v>1</v>
      </c>
    </row>
    <row r="319" customFormat="false" ht="15" hidden="false" customHeight="true" outlineLevel="0" collapsed="false">
      <c r="A319" s="1" t="s">
        <v>141</v>
      </c>
      <c r="B319" s="1" t="s">
        <v>142</v>
      </c>
      <c r="C319" s="1" t="n">
        <v>2018</v>
      </c>
      <c r="D319" s="1" t="s">
        <v>113</v>
      </c>
      <c r="E319" s="1" t="s">
        <v>86</v>
      </c>
      <c r="F319" s="1" t="n">
        <v>63.58</v>
      </c>
      <c r="G319" s="1" t="n">
        <v>66.38</v>
      </c>
      <c r="H319" s="1" t="n">
        <v>66.89</v>
      </c>
      <c r="I319" s="1" t="n">
        <v>76.66</v>
      </c>
      <c r="J319" s="1" t="n">
        <v>68.38</v>
      </c>
      <c r="K319" s="1" t="n">
        <v>31.62</v>
      </c>
      <c r="L319" s="1" t="s">
        <v>38</v>
      </c>
      <c r="M319" s="1" t="n">
        <v>15658.21</v>
      </c>
      <c r="N319" s="1" t="str">
        <f aca="false">IF(K319&gt;65,"High Risk",IF(K319&gt;=40,"Medium Risk","Low Risk"))</f>
        <v>Low Risk</v>
      </c>
      <c r="O319" s="20" t="b">
        <f aca="false">AND(OR($D319=T1_Region,T1_Region="All Regions"),OR($E319=T1_Income,T1_Income="All Income Groups"))</f>
        <v>1</v>
      </c>
    </row>
    <row r="320" customFormat="false" ht="15" hidden="false" customHeight="true" outlineLevel="0" collapsed="false">
      <c r="A320" s="1" t="s">
        <v>141</v>
      </c>
      <c r="B320" s="1" t="s">
        <v>142</v>
      </c>
      <c r="C320" s="1" t="n">
        <v>2019</v>
      </c>
      <c r="D320" s="1" t="s">
        <v>113</v>
      </c>
      <c r="E320" s="1" t="s">
        <v>86</v>
      </c>
      <c r="F320" s="1" t="n">
        <v>62.35</v>
      </c>
      <c r="G320" s="1" t="n">
        <v>66.02</v>
      </c>
      <c r="H320" s="1" t="n">
        <v>67.92</v>
      </c>
      <c r="I320" s="1" t="n">
        <v>77.4</v>
      </c>
      <c r="J320" s="1" t="n">
        <v>68.42</v>
      </c>
      <c r="K320" s="1" t="n">
        <v>31.58</v>
      </c>
      <c r="L320" s="1" t="s">
        <v>38</v>
      </c>
      <c r="M320" s="1" t="n">
        <v>15874.52</v>
      </c>
      <c r="N320" s="1" t="str">
        <f aca="false">IF(K320&gt;65,"High Risk",IF(K320&gt;=40,"Medium Risk","Low Risk"))</f>
        <v>Low Risk</v>
      </c>
      <c r="O320" s="20" t="b">
        <f aca="false">AND(OR($D320=T1_Region,T1_Region="All Regions"),OR($E320=T1_Income,T1_Income="All Income Groups"))</f>
        <v>1</v>
      </c>
    </row>
    <row r="321" customFormat="false" ht="15" hidden="false" customHeight="true" outlineLevel="0" collapsed="false">
      <c r="A321" s="1" t="s">
        <v>141</v>
      </c>
      <c r="B321" s="1" t="s">
        <v>142</v>
      </c>
      <c r="C321" s="1" t="n">
        <v>2020</v>
      </c>
      <c r="D321" s="1" t="s">
        <v>113</v>
      </c>
      <c r="E321" s="1" t="s">
        <v>86</v>
      </c>
      <c r="F321" s="1" t="n">
        <v>62.92</v>
      </c>
      <c r="G321" s="1" t="n">
        <v>64.88</v>
      </c>
      <c r="H321" s="1" t="n">
        <v>65.67</v>
      </c>
      <c r="I321" s="1" t="n">
        <v>75.37</v>
      </c>
      <c r="J321" s="1" t="n">
        <v>67.21</v>
      </c>
      <c r="K321" s="1" t="n">
        <v>32.79</v>
      </c>
      <c r="L321" s="1" t="s">
        <v>38</v>
      </c>
      <c r="M321" s="1" t="n">
        <v>16150.93</v>
      </c>
      <c r="N321" s="1" t="str">
        <f aca="false">IF(K321&gt;65,"High Risk",IF(K321&gt;=40,"Medium Risk","Low Risk"))</f>
        <v>Low Risk</v>
      </c>
      <c r="O321" s="20" t="b">
        <f aca="false">AND(OR($D321=T1_Region,T1_Region="All Regions"),OR($E321=T1_Income,T1_Income="All Income Groups"))</f>
        <v>1</v>
      </c>
    </row>
    <row r="322" customFormat="false" ht="15" hidden="false" customHeight="true" outlineLevel="0" collapsed="false">
      <c r="A322" s="1" t="s">
        <v>141</v>
      </c>
      <c r="B322" s="1" t="s">
        <v>142</v>
      </c>
      <c r="C322" s="1" t="n">
        <v>2021</v>
      </c>
      <c r="D322" s="1" t="s">
        <v>113</v>
      </c>
      <c r="E322" s="1" t="s">
        <v>86</v>
      </c>
      <c r="F322" s="1" t="n">
        <v>61.76</v>
      </c>
      <c r="G322" s="1" t="n">
        <v>64.02</v>
      </c>
      <c r="H322" s="1" t="n">
        <v>65.49</v>
      </c>
      <c r="I322" s="1" t="n">
        <v>75.55</v>
      </c>
      <c r="J322" s="1" t="n">
        <v>66.7</v>
      </c>
      <c r="K322" s="1" t="n">
        <v>33.3</v>
      </c>
      <c r="L322" s="1" t="s">
        <v>38</v>
      </c>
      <c r="M322" s="1" t="n">
        <v>18635.51</v>
      </c>
      <c r="N322" s="1" t="str">
        <f aca="false">IF(K322&gt;65,"High Risk",IF(K322&gt;=40,"Medium Risk","Low Risk"))</f>
        <v>Low Risk</v>
      </c>
      <c r="O322" s="20" t="b">
        <f aca="false">AND(OR($D322=T1_Region,T1_Region="All Regions"),OR($E322=T1_Income,T1_Income="All Income Groups"))</f>
        <v>1</v>
      </c>
    </row>
    <row r="323" customFormat="false" ht="15" hidden="false" customHeight="true" outlineLevel="0" collapsed="false">
      <c r="A323" s="1" t="s">
        <v>141</v>
      </c>
      <c r="B323" s="1" t="s">
        <v>142</v>
      </c>
      <c r="C323" s="1" t="n">
        <v>2022</v>
      </c>
      <c r="D323" s="1" t="s">
        <v>113</v>
      </c>
      <c r="E323" s="1" t="s">
        <v>86</v>
      </c>
      <c r="F323" s="1" t="n">
        <v>61.36</v>
      </c>
      <c r="G323" s="1" t="n">
        <v>63.07</v>
      </c>
      <c r="H323" s="1" t="n">
        <v>65.7</v>
      </c>
      <c r="I323" s="1" t="n">
        <v>75.08</v>
      </c>
      <c r="J323" s="1" t="n">
        <v>66.3</v>
      </c>
      <c r="K323" s="1" t="n">
        <v>33.7</v>
      </c>
      <c r="L323" s="1" t="s">
        <v>38</v>
      </c>
      <c r="M323" s="1" t="n">
        <v>18891.21</v>
      </c>
      <c r="N323" s="1" t="str">
        <f aca="false">IF(K323&gt;65,"High Risk",IF(K323&gt;=40,"Medium Risk","Low Risk"))</f>
        <v>Low Risk</v>
      </c>
      <c r="O323" s="20" t="b">
        <f aca="false">AND(OR($D323=T1_Region,T1_Region="All Regions"),OR($E323=T1_Income,T1_Income="All Income Groups"))</f>
        <v>1</v>
      </c>
    </row>
    <row r="324" customFormat="false" ht="15" hidden="false" customHeight="true" outlineLevel="0" collapsed="false">
      <c r="A324" s="1" t="s">
        <v>141</v>
      </c>
      <c r="B324" s="1" t="s">
        <v>142</v>
      </c>
      <c r="C324" s="1" t="n">
        <v>2023</v>
      </c>
      <c r="D324" s="1" t="s">
        <v>113</v>
      </c>
      <c r="E324" s="1" t="s">
        <v>86</v>
      </c>
      <c r="F324" s="1" t="n">
        <v>63.11</v>
      </c>
      <c r="G324" s="1" t="n">
        <v>63.1</v>
      </c>
      <c r="H324" s="1" t="n">
        <v>66.3</v>
      </c>
      <c r="I324" s="1" t="n">
        <v>74.53</v>
      </c>
      <c r="J324" s="1" t="n">
        <v>66.76</v>
      </c>
      <c r="K324" s="1" t="n">
        <v>33.24</v>
      </c>
      <c r="L324" s="1" t="s">
        <v>38</v>
      </c>
      <c r="M324" s="1" t="n">
        <v>22145.27</v>
      </c>
      <c r="N324" s="1" t="str">
        <f aca="false">IF(K324&gt;65,"High Risk",IF(K324&gt;=40,"Medium Risk","Low Risk"))</f>
        <v>Low Risk</v>
      </c>
      <c r="O324" s="20" t="b">
        <f aca="false">AND(OR($D324=T1_Region,T1_Region="All Regions"),OR($E324=T1_Income,T1_Income="All Income Groups"))</f>
        <v>1</v>
      </c>
    </row>
    <row r="325" customFormat="false" ht="15" hidden="false" customHeight="true" outlineLevel="0" collapsed="false">
      <c r="A325" s="1" t="s">
        <v>141</v>
      </c>
      <c r="B325" s="1" t="s">
        <v>142</v>
      </c>
      <c r="C325" s="1" t="n">
        <v>2024</v>
      </c>
      <c r="D325" s="1" t="s">
        <v>113</v>
      </c>
      <c r="E325" s="1" t="s">
        <v>86</v>
      </c>
      <c r="F325" s="1" t="n">
        <v>63.93</v>
      </c>
      <c r="G325" s="1" t="n">
        <v>66.89</v>
      </c>
      <c r="H325" s="1" t="n">
        <v>65.68</v>
      </c>
      <c r="I325" s="1" t="n">
        <v>74.41</v>
      </c>
      <c r="J325" s="1" t="n">
        <v>67.73</v>
      </c>
      <c r="K325" s="1" t="n">
        <v>32.27</v>
      </c>
      <c r="L325" s="1" t="s">
        <v>38</v>
      </c>
      <c r="M325" s="1" t="n">
        <v>25103.57</v>
      </c>
      <c r="N325" s="1" t="str">
        <f aca="false">IF(K325&gt;65,"High Risk",IF(K325&gt;=40,"Medium Risk","Low Risk"))</f>
        <v>Low Risk</v>
      </c>
      <c r="O325" s="20" t="b">
        <f aca="false">AND(OR($D325=T1_Region,T1_Region="All Regions"),OR($E325=T1_Income,T1_Income="All Income Groups"))</f>
        <v>1</v>
      </c>
    </row>
    <row r="326" customFormat="false" ht="15" hidden="false" customHeight="true" outlineLevel="0" collapsed="false">
      <c r="A326" s="1" t="s">
        <v>143</v>
      </c>
      <c r="B326" s="1" t="s">
        <v>144</v>
      </c>
      <c r="C326" s="1" t="n">
        <v>2013</v>
      </c>
      <c r="D326" s="1" t="s">
        <v>113</v>
      </c>
      <c r="E326" s="1" t="s">
        <v>82</v>
      </c>
      <c r="F326" s="1" t="n">
        <v>27.57</v>
      </c>
      <c r="G326" s="1" t="n">
        <v>41.21</v>
      </c>
      <c r="H326" s="1" t="n">
        <v>48.46</v>
      </c>
      <c r="I326" s="1" t="n">
        <v>51.75</v>
      </c>
      <c r="J326" s="1" t="n">
        <v>42.25</v>
      </c>
      <c r="K326" s="1" t="n">
        <v>57.75</v>
      </c>
      <c r="L326" s="1" t="s">
        <v>37</v>
      </c>
      <c r="M326" s="1" t="n">
        <v>15941.45</v>
      </c>
      <c r="N326" s="1" t="str">
        <f aca="false">IF(K326&gt;65,"High Risk",IF(K326&gt;=40,"Medium Risk","Low Risk"))</f>
        <v>Medium Risk</v>
      </c>
      <c r="O326" s="20" t="b">
        <f aca="false">AND(OR($D326=T1_Region,T1_Region="All Regions"),OR($E326=T1_Income,T1_Income="All Income Groups"))</f>
        <v>1</v>
      </c>
    </row>
    <row r="327" customFormat="false" ht="15" hidden="false" customHeight="true" outlineLevel="0" collapsed="false">
      <c r="A327" s="1" t="s">
        <v>143</v>
      </c>
      <c r="B327" s="1" t="s">
        <v>144</v>
      </c>
      <c r="C327" s="1" t="n">
        <v>2014</v>
      </c>
      <c r="D327" s="1" t="s">
        <v>113</v>
      </c>
      <c r="E327" s="1" t="s">
        <v>82</v>
      </c>
      <c r="F327" s="1" t="n">
        <v>29.89</v>
      </c>
      <c r="G327" s="1" t="n">
        <v>42.29</v>
      </c>
      <c r="H327" s="1" t="n">
        <v>47.76</v>
      </c>
      <c r="I327" s="1" t="n">
        <v>53.94</v>
      </c>
      <c r="J327" s="1" t="n">
        <v>43.47</v>
      </c>
      <c r="K327" s="1" t="n">
        <v>56.53</v>
      </c>
      <c r="L327" s="1" t="s">
        <v>37</v>
      </c>
      <c r="M327" s="1" t="n">
        <v>14055.47</v>
      </c>
      <c r="N327" s="1" t="str">
        <f aca="false">IF(K327&gt;65,"High Risk",IF(K327&gt;=40,"Medium Risk","Low Risk"))</f>
        <v>Medium Risk</v>
      </c>
      <c r="O327" s="20" t="b">
        <f aca="false">AND(OR($D327=T1_Region,T1_Region="All Regions"),OR($E327=T1_Income,T1_Income="All Income Groups"))</f>
        <v>1</v>
      </c>
    </row>
    <row r="328" customFormat="false" ht="15" hidden="false" customHeight="true" outlineLevel="0" collapsed="false">
      <c r="A328" s="1" t="s">
        <v>143</v>
      </c>
      <c r="B328" s="1" t="s">
        <v>144</v>
      </c>
      <c r="C328" s="1" t="n">
        <v>2015</v>
      </c>
      <c r="D328" s="1" t="s">
        <v>113</v>
      </c>
      <c r="E328" s="1" t="s">
        <v>82</v>
      </c>
      <c r="F328" s="1" t="n">
        <v>29.37</v>
      </c>
      <c r="G328" s="1" t="n">
        <v>41.32</v>
      </c>
      <c r="H328" s="1" t="n">
        <v>46.73</v>
      </c>
      <c r="I328" s="1" t="n">
        <v>52.39</v>
      </c>
      <c r="J328" s="1" t="n">
        <v>42.45</v>
      </c>
      <c r="K328" s="1" t="n">
        <v>57.55</v>
      </c>
      <c r="L328" s="1" t="s">
        <v>37</v>
      </c>
      <c r="M328" s="1" t="n">
        <v>9277.71</v>
      </c>
      <c r="N328" s="1" t="str">
        <f aca="false">IF(K328&gt;65,"High Risk",IF(K328&gt;=40,"Medium Risk","Low Risk"))</f>
        <v>Medium Risk</v>
      </c>
      <c r="O328" s="20" t="b">
        <f aca="false">AND(OR($D328=T1_Region,T1_Region="All Regions"),OR($E328=T1_Income,T1_Income="All Income Groups"))</f>
        <v>1</v>
      </c>
    </row>
    <row r="329" customFormat="false" ht="15" hidden="false" customHeight="true" outlineLevel="0" collapsed="false">
      <c r="A329" s="1" t="s">
        <v>143</v>
      </c>
      <c r="B329" s="1" t="s">
        <v>144</v>
      </c>
      <c r="C329" s="1" t="n">
        <v>2016</v>
      </c>
      <c r="D329" s="1" t="s">
        <v>113</v>
      </c>
      <c r="E329" s="1" t="s">
        <v>82</v>
      </c>
      <c r="F329" s="1" t="n">
        <v>31.13</v>
      </c>
      <c r="G329" s="1" t="n">
        <v>42.04</v>
      </c>
      <c r="H329" s="1" t="n">
        <v>48.17</v>
      </c>
      <c r="I329" s="1" t="n">
        <v>52.77</v>
      </c>
      <c r="J329" s="1" t="n">
        <v>43.53</v>
      </c>
      <c r="K329" s="1" t="n">
        <v>56.47</v>
      </c>
      <c r="L329" s="1" t="s">
        <v>37</v>
      </c>
      <c r="M329" s="1" t="n">
        <v>8663.16</v>
      </c>
      <c r="N329" s="1" t="str">
        <f aca="false">IF(K329&gt;65,"High Risk",IF(K329&gt;=40,"Medium Risk","Low Risk"))</f>
        <v>Medium Risk</v>
      </c>
      <c r="O329" s="20" t="b">
        <f aca="false">AND(OR($D329=T1_Region,T1_Region="All Regions"),OR($E329=T1_Income,T1_Income="All Income Groups"))</f>
        <v>1</v>
      </c>
    </row>
    <row r="330" customFormat="false" ht="15" hidden="false" customHeight="true" outlineLevel="0" collapsed="false">
      <c r="A330" s="1" t="s">
        <v>143</v>
      </c>
      <c r="B330" s="1" t="s">
        <v>144</v>
      </c>
      <c r="C330" s="1" t="n">
        <v>2017</v>
      </c>
      <c r="D330" s="1" t="s">
        <v>113</v>
      </c>
      <c r="E330" s="1" t="s">
        <v>82</v>
      </c>
      <c r="F330" s="1" t="n">
        <v>29.37</v>
      </c>
      <c r="G330" s="1" t="n">
        <v>42.56</v>
      </c>
      <c r="H330" s="1" t="n">
        <v>48.61</v>
      </c>
      <c r="I330" s="1" t="n">
        <v>56.69</v>
      </c>
      <c r="J330" s="1" t="n">
        <v>44.31</v>
      </c>
      <c r="K330" s="1" t="n">
        <v>55.69</v>
      </c>
      <c r="L330" s="1" t="s">
        <v>37</v>
      </c>
      <c r="M330" s="1" t="n">
        <v>10658.91</v>
      </c>
      <c r="N330" s="1" t="str">
        <f aca="false">IF(K330&gt;65,"High Risk",IF(K330&gt;=40,"Medium Risk","Low Risk"))</f>
        <v>Medium Risk</v>
      </c>
      <c r="O330" s="20" t="b">
        <f aca="false">AND(OR($D330=T1_Region,T1_Region="All Regions"),OR($E330=T1_Income,T1_Income="All Income Groups"))</f>
        <v>1</v>
      </c>
    </row>
    <row r="331" customFormat="false" ht="15" hidden="false" customHeight="true" outlineLevel="0" collapsed="false">
      <c r="A331" s="1" t="s">
        <v>143</v>
      </c>
      <c r="B331" s="1" t="s">
        <v>144</v>
      </c>
      <c r="C331" s="1" t="n">
        <v>2018</v>
      </c>
      <c r="D331" s="1" t="s">
        <v>113</v>
      </c>
      <c r="E331" s="1" t="s">
        <v>82</v>
      </c>
      <c r="F331" s="1" t="n">
        <v>29.87</v>
      </c>
      <c r="G331" s="1" t="n">
        <v>42.64</v>
      </c>
      <c r="H331" s="1" t="n">
        <v>49.22</v>
      </c>
      <c r="I331" s="1" t="n">
        <v>59.61</v>
      </c>
      <c r="J331" s="1" t="n">
        <v>45.33</v>
      </c>
      <c r="K331" s="1" t="n">
        <v>54.67</v>
      </c>
      <c r="L331" s="1" t="s">
        <v>37</v>
      </c>
      <c r="M331" s="1" t="n">
        <v>11211.89</v>
      </c>
      <c r="N331" s="1" t="str">
        <f aca="false">IF(K331&gt;65,"High Risk",IF(K331&gt;=40,"Medium Risk","Low Risk"))</f>
        <v>Medium Risk</v>
      </c>
      <c r="O331" s="20" t="b">
        <f aca="false">AND(OR($D331=T1_Region,T1_Region="All Regions"),OR($E331=T1_Income,T1_Income="All Income Groups"))</f>
        <v>1</v>
      </c>
    </row>
    <row r="332" customFormat="false" ht="15" hidden="false" customHeight="true" outlineLevel="0" collapsed="false">
      <c r="A332" s="1" t="s">
        <v>143</v>
      </c>
      <c r="B332" s="1" t="s">
        <v>144</v>
      </c>
      <c r="C332" s="1" t="n">
        <v>2019</v>
      </c>
      <c r="D332" s="1" t="s">
        <v>113</v>
      </c>
      <c r="E332" s="1" t="s">
        <v>82</v>
      </c>
      <c r="F332" s="1" t="n">
        <v>32.28</v>
      </c>
      <c r="G332" s="1" t="n">
        <v>42.05</v>
      </c>
      <c r="H332" s="1" t="n">
        <v>49.28</v>
      </c>
      <c r="I332" s="1" t="n">
        <v>59.08</v>
      </c>
      <c r="J332" s="1" t="n">
        <v>45.67</v>
      </c>
      <c r="K332" s="1" t="n">
        <v>54.33</v>
      </c>
      <c r="L332" s="1" t="s">
        <v>37</v>
      </c>
      <c r="M332" s="1" t="n">
        <v>11447.7</v>
      </c>
      <c r="N332" s="1" t="str">
        <f aca="false">IF(K332&gt;65,"High Risk",IF(K332&gt;=40,"Medium Risk","Low Risk"))</f>
        <v>Medium Risk</v>
      </c>
      <c r="O332" s="20" t="b">
        <f aca="false">AND(OR($D332=T1_Region,T1_Region="All Regions"),OR($E332=T1_Income,T1_Income="All Income Groups"))</f>
        <v>1</v>
      </c>
    </row>
    <row r="333" customFormat="false" ht="15" hidden="false" customHeight="true" outlineLevel="0" collapsed="false">
      <c r="A333" s="1" t="s">
        <v>143</v>
      </c>
      <c r="B333" s="1" t="s">
        <v>144</v>
      </c>
      <c r="C333" s="1" t="n">
        <v>2020</v>
      </c>
      <c r="D333" s="1" t="s">
        <v>113</v>
      </c>
      <c r="E333" s="1" t="s">
        <v>82</v>
      </c>
      <c r="F333" s="1" t="n">
        <v>32.17</v>
      </c>
      <c r="G333" s="1" t="n">
        <v>42.76</v>
      </c>
      <c r="H333" s="1" t="n">
        <v>47.84</v>
      </c>
      <c r="I333" s="1" t="n">
        <v>57.24</v>
      </c>
      <c r="J333" s="1" t="n">
        <v>45</v>
      </c>
      <c r="K333" s="1" t="n">
        <v>55</v>
      </c>
      <c r="L333" s="1" t="s">
        <v>37</v>
      </c>
      <c r="M333" s="1" t="n">
        <v>10108.33</v>
      </c>
      <c r="N333" s="1" t="str">
        <f aca="false">IF(K333&gt;65,"High Risk",IF(K333&gt;=40,"Medium Risk","Low Risk"))</f>
        <v>Medium Risk</v>
      </c>
      <c r="O333" s="20" t="b">
        <f aca="false">AND(OR($D333=T1_Region,T1_Region="All Regions"),OR($E333=T1_Income,T1_Income="All Income Groups"))</f>
        <v>1</v>
      </c>
    </row>
    <row r="334" customFormat="false" ht="15" hidden="false" customHeight="true" outlineLevel="0" collapsed="false">
      <c r="A334" s="1" t="s">
        <v>143</v>
      </c>
      <c r="B334" s="1" t="s">
        <v>144</v>
      </c>
      <c r="C334" s="1" t="n">
        <v>2021</v>
      </c>
      <c r="D334" s="1" t="s">
        <v>113</v>
      </c>
      <c r="E334" s="1" t="s">
        <v>82</v>
      </c>
      <c r="F334" s="1" t="n">
        <v>32.09</v>
      </c>
      <c r="G334" s="1" t="n">
        <v>41.43</v>
      </c>
      <c r="H334" s="1" t="n">
        <v>49</v>
      </c>
      <c r="I334" s="1" t="n">
        <v>57.25</v>
      </c>
      <c r="J334" s="1" t="n">
        <v>44.94</v>
      </c>
      <c r="K334" s="1" t="n">
        <v>55.06</v>
      </c>
      <c r="L334" s="1" t="s">
        <v>37</v>
      </c>
      <c r="M334" s="1" t="n">
        <v>12425.03</v>
      </c>
      <c r="N334" s="1" t="str">
        <f aca="false">IF(K334&gt;65,"High Risk",IF(K334&gt;=40,"Medium Risk","Low Risk"))</f>
        <v>Medium Risk</v>
      </c>
      <c r="O334" s="20" t="b">
        <f aca="false">AND(OR($D334=T1_Region,T1_Region="All Regions"),OR($E334=T1_Income,T1_Income="All Income Groups"))</f>
        <v>1</v>
      </c>
    </row>
    <row r="335" customFormat="false" ht="15" hidden="false" customHeight="true" outlineLevel="0" collapsed="false">
      <c r="A335" s="1" t="s">
        <v>143</v>
      </c>
      <c r="B335" s="1" t="s">
        <v>144</v>
      </c>
      <c r="C335" s="1" t="n">
        <v>2022</v>
      </c>
      <c r="D335" s="1" t="s">
        <v>113</v>
      </c>
      <c r="E335" s="1" t="s">
        <v>82</v>
      </c>
      <c r="F335" s="1" t="n">
        <v>32.21</v>
      </c>
      <c r="G335" s="1" t="n">
        <v>38.81</v>
      </c>
      <c r="H335" s="1" t="n">
        <v>40.8</v>
      </c>
      <c r="I335" s="1" t="n">
        <v>53.24</v>
      </c>
      <c r="J335" s="1" t="n">
        <v>41.26</v>
      </c>
      <c r="K335" s="1" t="n">
        <v>58.74</v>
      </c>
      <c r="L335" s="1" t="s">
        <v>37</v>
      </c>
      <c r="M335" s="1" t="n">
        <v>15625.63</v>
      </c>
      <c r="N335" s="1" t="str">
        <f aca="false">IF(K335&gt;65,"High Risk",IF(K335&gt;=40,"Medium Risk","Low Risk"))</f>
        <v>Medium Risk</v>
      </c>
      <c r="O335" s="20" t="b">
        <f aca="false">AND(OR($D335=T1_Region,T1_Region="All Regions"),OR($E335=T1_Income,T1_Income="All Income Groups"))</f>
        <v>1</v>
      </c>
    </row>
    <row r="336" customFormat="false" ht="15" hidden="false" customHeight="true" outlineLevel="0" collapsed="false">
      <c r="A336" s="1" t="s">
        <v>143</v>
      </c>
      <c r="B336" s="1" t="s">
        <v>144</v>
      </c>
      <c r="C336" s="1" t="n">
        <v>2023</v>
      </c>
      <c r="D336" s="1" t="s">
        <v>113</v>
      </c>
      <c r="E336" s="1" t="s">
        <v>82</v>
      </c>
      <c r="F336" s="1" t="n">
        <v>29.89</v>
      </c>
      <c r="G336" s="1" t="n">
        <v>38.49</v>
      </c>
      <c r="H336" s="1" t="n">
        <v>40.84</v>
      </c>
      <c r="I336" s="1" t="n">
        <v>51.91</v>
      </c>
      <c r="J336" s="1" t="n">
        <v>40.28</v>
      </c>
      <c r="K336" s="1" t="n">
        <v>59.72</v>
      </c>
      <c r="L336" s="1" t="s">
        <v>37</v>
      </c>
      <c r="M336" s="1" t="n">
        <v>13987</v>
      </c>
      <c r="N336" s="1" t="str">
        <f aca="false">IF(K336&gt;65,"High Risk",IF(K336&gt;=40,"Medium Risk","Low Risk"))</f>
        <v>Medium Risk</v>
      </c>
      <c r="O336" s="20" t="b">
        <f aca="false">AND(OR($D336=T1_Region,T1_Region="All Regions"),OR($E336=T1_Income,T1_Income="All Income Groups"))</f>
        <v>1</v>
      </c>
    </row>
    <row r="337" customFormat="false" ht="15" hidden="false" customHeight="true" outlineLevel="0" collapsed="false">
      <c r="A337" s="1" t="s">
        <v>143</v>
      </c>
      <c r="B337" s="1" t="s">
        <v>144</v>
      </c>
      <c r="C337" s="1" t="n">
        <v>2024</v>
      </c>
      <c r="D337" s="1" t="s">
        <v>113</v>
      </c>
      <c r="E337" s="1" t="s">
        <v>82</v>
      </c>
      <c r="F337" s="1" t="n">
        <v>29.82</v>
      </c>
      <c r="G337" s="1" t="n">
        <v>37.06</v>
      </c>
      <c r="H337" s="1" t="n">
        <v>38.01</v>
      </c>
      <c r="I337" s="1" t="n">
        <v>50.46</v>
      </c>
      <c r="J337" s="1" t="n">
        <v>38.84</v>
      </c>
      <c r="K337" s="1" t="n">
        <v>61.16</v>
      </c>
      <c r="L337" s="1" t="s">
        <v>37</v>
      </c>
      <c r="M337" s="1" t="n">
        <v>14961.9</v>
      </c>
      <c r="N337" s="1" t="str">
        <f aca="false">IF(K337&gt;65,"High Risk",IF(K337&gt;=40,"Medium Risk","Low Risk"))</f>
        <v>Medium Risk</v>
      </c>
      <c r="O337" s="20" t="b">
        <f aca="false">AND(OR($D337=T1_Region,T1_Region="All Regions"),OR($E337=T1_Income,T1_Income="All Income Groups"))</f>
        <v>1</v>
      </c>
    </row>
    <row r="338" customFormat="false" ht="15" hidden="false" customHeight="true" outlineLevel="0" collapsed="false">
      <c r="A338" s="1" t="s">
        <v>145</v>
      </c>
      <c r="B338" s="1" t="s">
        <v>146</v>
      </c>
      <c r="C338" s="1" t="n">
        <v>2013</v>
      </c>
      <c r="D338" s="1" t="s">
        <v>108</v>
      </c>
      <c r="E338" s="1" t="s">
        <v>86</v>
      </c>
      <c r="F338" s="1" t="n">
        <v>44.26</v>
      </c>
      <c r="G338" s="1" t="n">
        <v>53.48</v>
      </c>
      <c r="H338" s="1" t="n">
        <v>59.16</v>
      </c>
      <c r="I338" s="1" t="n">
        <v>54.62</v>
      </c>
      <c r="J338" s="1" t="n">
        <v>52.88</v>
      </c>
      <c r="K338" s="1" t="n">
        <v>47.12</v>
      </c>
      <c r="L338" s="1" t="s">
        <v>37</v>
      </c>
      <c r="M338" s="1" t="n">
        <v>27865.47</v>
      </c>
      <c r="N338" s="1" t="str">
        <f aca="false">IF(K338&gt;65,"High Risk",IF(K338&gt;=40,"Medium Risk","Low Risk"))</f>
        <v>Medium Risk</v>
      </c>
      <c r="O338" s="20" t="b">
        <f aca="false">AND(OR($D338=T1_Region,T1_Region="All Regions"),OR($E338=T1_Income,T1_Income="All Income Groups"))</f>
        <v>1</v>
      </c>
    </row>
    <row r="339" customFormat="false" ht="15" hidden="false" customHeight="true" outlineLevel="0" collapsed="false">
      <c r="A339" s="1" t="s">
        <v>145</v>
      </c>
      <c r="B339" s="1" t="s">
        <v>146</v>
      </c>
      <c r="C339" s="1" t="n">
        <v>2014</v>
      </c>
      <c r="D339" s="1" t="s">
        <v>108</v>
      </c>
      <c r="E339" s="1" t="s">
        <v>86</v>
      </c>
      <c r="F339" s="1" t="n">
        <v>42.78</v>
      </c>
      <c r="G339" s="1" t="n">
        <v>49.48</v>
      </c>
      <c r="H339" s="1" t="n">
        <v>57.93</v>
      </c>
      <c r="I339" s="1" t="n">
        <v>60.62</v>
      </c>
      <c r="J339" s="1" t="n">
        <v>52.7</v>
      </c>
      <c r="K339" s="1" t="n">
        <v>47.3</v>
      </c>
      <c r="L339" s="1" t="s">
        <v>37</v>
      </c>
      <c r="M339" s="1" t="n">
        <v>27805.49</v>
      </c>
      <c r="N339" s="1" t="str">
        <f aca="false">IF(K339&gt;65,"High Risk",IF(K339&gt;=40,"Medium Risk","Low Risk"))</f>
        <v>Medium Risk</v>
      </c>
      <c r="O339" s="20" t="b">
        <f aca="false">AND(OR($D339=T1_Region,T1_Region="All Regions"),OR($E339=T1_Income,T1_Income="All Income Groups"))</f>
        <v>1</v>
      </c>
    </row>
    <row r="340" customFormat="false" ht="15" hidden="false" customHeight="true" outlineLevel="0" collapsed="false">
      <c r="A340" s="1" t="s">
        <v>145</v>
      </c>
      <c r="B340" s="1" t="s">
        <v>146</v>
      </c>
      <c r="C340" s="1" t="n">
        <v>2015</v>
      </c>
      <c r="D340" s="1" t="s">
        <v>108</v>
      </c>
      <c r="E340" s="1" t="s">
        <v>86</v>
      </c>
      <c r="F340" s="1" t="n">
        <v>45</v>
      </c>
      <c r="G340" s="1" t="n">
        <v>52.36</v>
      </c>
      <c r="H340" s="1" t="n">
        <v>58.61</v>
      </c>
      <c r="I340" s="1" t="n">
        <v>57.89</v>
      </c>
      <c r="J340" s="1" t="n">
        <v>53.46</v>
      </c>
      <c r="K340" s="1" t="n">
        <v>46.54</v>
      </c>
      <c r="L340" s="1" t="s">
        <v>37</v>
      </c>
      <c r="M340" s="1" t="n">
        <v>23256.15</v>
      </c>
      <c r="N340" s="1" t="str">
        <f aca="false">IF(K340&gt;65,"High Risk",IF(K340&gt;=40,"Medium Risk","Low Risk"))</f>
        <v>Medium Risk</v>
      </c>
      <c r="O340" s="20" t="b">
        <f aca="false">AND(OR($D340=T1_Region,T1_Region="All Regions"),OR($E340=T1_Income,T1_Income="All Income Groups"))</f>
        <v>1</v>
      </c>
    </row>
    <row r="341" customFormat="false" ht="15" hidden="false" customHeight="true" outlineLevel="0" collapsed="false">
      <c r="A341" s="1" t="s">
        <v>145</v>
      </c>
      <c r="B341" s="1" t="s">
        <v>146</v>
      </c>
      <c r="C341" s="1" t="n">
        <v>2016</v>
      </c>
      <c r="D341" s="1" t="s">
        <v>108</v>
      </c>
      <c r="E341" s="1" t="s">
        <v>86</v>
      </c>
      <c r="F341" s="1" t="n">
        <v>50.29</v>
      </c>
      <c r="G341" s="1" t="n">
        <v>53.52</v>
      </c>
      <c r="H341" s="1" t="n">
        <v>57.83</v>
      </c>
      <c r="I341" s="1" t="n">
        <v>57.25</v>
      </c>
      <c r="J341" s="1" t="n">
        <v>54.72</v>
      </c>
      <c r="K341" s="1" t="n">
        <v>45.28</v>
      </c>
      <c r="L341" s="1" t="s">
        <v>37</v>
      </c>
      <c r="M341" s="1" t="n">
        <v>22267.72</v>
      </c>
      <c r="N341" s="1" t="str">
        <f aca="false">IF(K341&gt;65,"High Risk",IF(K341&gt;=40,"Medium Risk","Low Risk"))</f>
        <v>Medium Risk</v>
      </c>
      <c r="O341" s="20" t="b">
        <f aca="false">AND(OR($D341=T1_Region,T1_Region="All Regions"),OR($E341=T1_Income,T1_Income="All Income Groups"))</f>
        <v>1</v>
      </c>
    </row>
    <row r="342" customFormat="false" ht="15" hidden="false" customHeight="true" outlineLevel="0" collapsed="false">
      <c r="A342" s="1" t="s">
        <v>145</v>
      </c>
      <c r="B342" s="1" t="s">
        <v>146</v>
      </c>
      <c r="C342" s="1" t="n">
        <v>2017</v>
      </c>
      <c r="D342" s="1" t="s">
        <v>108</v>
      </c>
      <c r="E342" s="1" t="s">
        <v>86</v>
      </c>
      <c r="F342" s="1" t="n">
        <v>50.08</v>
      </c>
      <c r="G342" s="1" t="n">
        <v>51.24</v>
      </c>
      <c r="H342" s="1" t="n">
        <v>56.45</v>
      </c>
      <c r="I342" s="1" t="n">
        <v>54.49</v>
      </c>
      <c r="J342" s="1" t="n">
        <v>53.06</v>
      </c>
      <c r="K342" s="1" t="n">
        <v>46.94</v>
      </c>
      <c r="L342" s="1" t="s">
        <v>37</v>
      </c>
      <c r="M342" s="1" t="n">
        <v>23929.29</v>
      </c>
      <c r="N342" s="1" t="str">
        <f aca="false">IF(K342&gt;65,"High Risk",IF(K342&gt;=40,"Medium Risk","Low Risk"))</f>
        <v>Medium Risk</v>
      </c>
      <c r="O342" s="20" t="b">
        <f aca="false">AND(OR($D342=T1_Region,T1_Region="All Regions"),OR($E342=T1_Income,T1_Income="All Income Groups"))</f>
        <v>1</v>
      </c>
    </row>
    <row r="343" customFormat="false" ht="15" hidden="false" customHeight="true" outlineLevel="0" collapsed="false">
      <c r="A343" s="1" t="s">
        <v>145</v>
      </c>
      <c r="B343" s="1" t="s">
        <v>146</v>
      </c>
      <c r="C343" s="1" t="n">
        <v>2018</v>
      </c>
      <c r="D343" s="1" t="s">
        <v>108</v>
      </c>
      <c r="E343" s="1" t="s">
        <v>86</v>
      </c>
      <c r="F343" s="1" t="n">
        <v>51.01</v>
      </c>
      <c r="G343" s="1" t="n">
        <v>52.96</v>
      </c>
      <c r="H343" s="1" t="n">
        <v>56.13</v>
      </c>
      <c r="I343" s="1" t="n">
        <v>55.67</v>
      </c>
      <c r="J343" s="1" t="n">
        <v>53.94</v>
      </c>
      <c r="K343" s="1" t="n">
        <v>46.06</v>
      </c>
      <c r="L343" s="1" t="s">
        <v>37</v>
      </c>
      <c r="M343" s="1" t="n">
        <v>29360.07</v>
      </c>
      <c r="N343" s="1" t="str">
        <f aca="false">IF(K343&gt;65,"High Risk",IF(K343&gt;=40,"Medium Risk","Low Risk"))</f>
        <v>Medium Risk</v>
      </c>
      <c r="O343" s="20" t="b">
        <f aca="false">AND(OR($D343=T1_Region,T1_Region="All Regions"),OR($E343=T1_Income,T1_Income="All Income Groups"))</f>
        <v>1</v>
      </c>
    </row>
    <row r="344" customFormat="false" ht="15" hidden="false" customHeight="true" outlineLevel="0" collapsed="false">
      <c r="A344" s="1" t="s">
        <v>145</v>
      </c>
      <c r="B344" s="1" t="s">
        <v>146</v>
      </c>
      <c r="C344" s="1" t="n">
        <v>2019</v>
      </c>
      <c r="D344" s="1" t="s">
        <v>108</v>
      </c>
      <c r="E344" s="1" t="s">
        <v>86</v>
      </c>
      <c r="F344" s="1" t="n">
        <v>52.17</v>
      </c>
      <c r="G344" s="1" t="n">
        <v>54.05</v>
      </c>
      <c r="H344" s="1" t="n">
        <v>57.69</v>
      </c>
      <c r="I344" s="1" t="n">
        <v>56.45</v>
      </c>
      <c r="J344" s="1" t="n">
        <v>55.09</v>
      </c>
      <c r="K344" s="1" t="n">
        <v>44.91</v>
      </c>
      <c r="L344" s="1" t="s">
        <v>37</v>
      </c>
      <c r="M344" s="1" t="n">
        <v>29566.79</v>
      </c>
      <c r="N344" s="1" t="str">
        <f aca="false">IF(K344&gt;65,"High Risk",IF(K344&gt;=40,"Medium Risk","Low Risk"))</f>
        <v>Medium Risk</v>
      </c>
      <c r="O344" s="20" t="b">
        <f aca="false">AND(OR($D344=T1_Region,T1_Region="All Regions"),OR($E344=T1_Income,T1_Income="All Income Groups"))</f>
        <v>1</v>
      </c>
    </row>
    <row r="345" customFormat="false" ht="15" hidden="false" customHeight="true" outlineLevel="0" collapsed="false">
      <c r="A345" s="1" t="s">
        <v>145</v>
      </c>
      <c r="B345" s="1" t="s">
        <v>146</v>
      </c>
      <c r="C345" s="1" t="n">
        <v>2020</v>
      </c>
      <c r="D345" s="1" t="s">
        <v>108</v>
      </c>
      <c r="E345" s="1" t="s">
        <v>86</v>
      </c>
      <c r="F345" s="1" t="n">
        <v>54.36</v>
      </c>
      <c r="G345" s="1" t="n">
        <v>53.88</v>
      </c>
      <c r="H345" s="1" t="n">
        <v>57.59</v>
      </c>
      <c r="I345" s="1" t="n">
        <v>56.45</v>
      </c>
      <c r="J345" s="1" t="n">
        <v>55.57</v>
      </c>
      <c r="K345" s="1" t="n">
        <v>44.43</v>
      </c>
      <c r="L345" s="1" t="s">
        <v>37</v>
      </c>
      <c r="M345" s="1" t="n">
        <v>24338.83</v>
      </c>
      <c r="N345" s="1" t="str">
        <f aca="false">IF(K345&gt;65,"High Risk",IF(K345&gt;=40,"Medium Risk","Low Risk"))</f>
        <v>Medium Risk</v>
      </c>
      <c r="O345" s="20" t="b">
        <f aca="false">AND(OR($D345=T1_Region,T1_Region="All Regions"),OR($E345=T1_Income,T1_Income="All Income Groups"))</f>
        <v>1</v>
      </c>
    </row>
    <row r="346" customFormat="false" ht="15" hidden="false" customHeight="true" outlineLevel="0" collapsed="false">
      <c r="A346" s="1" t="s">
        <v>145</v>
      </c>
      <c r="B346" s="1" t="s">
        <v>146</v>
      </c>
      <c r="C346" s="1" t="n">
        <v>2021</v>
      </c>
      <c r="D346" s="1" t="s">
        <v>108</v>
      </c>
      <c r="E346" s="1" t="s">
        <v>86</v>
      </c>
      <c r="F346" s="1" t="n">
        <v>52.64</v>
      </c>
      <c r="G346" s="1" t="n">
        <v>54.11</v>
      </c>
      <c r="H346" s="1" t="n">
        <v>60.98</v>
      </c>
      <c r="I346" s="1" t="n">
        <v>57.91</v>
      </c>
      <c r="J346" s="1" t="n">
        <v>56.41</v>
      </c>
      <c r="K346" s="1" t="n">
        <v>43.59</v>
      </c>
      <c r="L346" s="1" t="s">
        <v>37</v>
      </c>
      <c r="M346" s="1" t="n">
        <v>31920.77</v>
      </c>
      <c r="N346" s="1" t="str">
        <f aca="false">IF(K346&gt;65,"High Risk",IF(K346&gt;=40,"Medium Risk","Low Risk"))</f>
        <v>Medium Risk</v>
      </c>
      <c r="O346" s="20" t="b">
        <f aca="false">AND(OR($D346=T1_Region,T1_Region="All Regions"),OR($E346=T1_Income,T1_Income="All Income Groups"))</f>
        <v>1</v>
      </c>
    </row>
    <row r="347" customFormat="false" ht="15" hidden="false" customHeight="true" outlineLevel="0" collapsed="false">
      <c r="A347" s="1" t="s">
        <v>145</v>
      </c>
      <c r="B347" s="1" t="s">
        <v>146</v>
      </c>
      <c r="C347" s="1" t="n">
        <v>2022</v>
      </c>
      <c r="D347" s="1" t="s">
        <v>108</v>
      </c>
      <c r="E347" s="1" t="s">
        <v>86</v>
      </c>
      <c r="F347" s="1" t="n">
        <v>53.46</v>
      </c>
      <c r="G347" s="1" t="n">
        <v>57.64</v>
      </c>
      <c r="H347" s="1" t="n">
        <v>63.6</v>
      </c>
      <c r="I347" s="1" t="n">
        <v>59.71</v>
      </c>
      <c r="J347" s="1" t="n">
        <v>58.6</v>
      </c>
      <c r="K347" s="1" t="n">
        <v>41.4</v>
      </c>
      <c r="L347" s="1" t="s">
        <v>37</v>
      </c>
      <c r="M347" s="1" t="n">
        <v>38510.23</v>
      </c>
      <c r="N347" s="1" t="str">
        <f aca="false">IF(K347&gt;65,"High Risk",IF(K347&gt;=40,"Medium Risk","Low Risk"))</f>
        <v>Medium Risk</v>
      </c>
      <c r="O347" s="20" t="b">
        <f aca="false">AND(OR($D347=T1_Region,T1_Region="All Regions"),OR($E347=T1_Income,T1_Income="All Income Groups"))</f>
        <v>1</v>
      </c>
    </row>
    <row r="348" customFormat="false" ht="15" hidden="false" customHeight="true" outlineLevel="0" collapsed="false">
      <c r="A348" s="1" t="s">
        <v>145</v>
      </c>
      <c r="B348" s="1" t="s">
        <v>146</v>
      </c>
      <c r="C348" s="1" t="n">
        <v>2023</v>
      </c>
      <c r="D348" s="1" t="s">
        <v>108</v>
      </c>
      <c r="E348" s="1" t="s">
        <v>86</v>
      </c>
      <c r="F348" s="1" t="n">
        <v>57.51</v>
      </c>
      <c r="G348" s="1" t="n">
        <v>58.97</v>
      </c>
      <c r="H348" s="1" t="n">
        <v>64.49</v>
      </c>
      <c r="I348" s="1" t="n">
        <v>61.71</v>
      </c>
      <c r="J348" s="1" t="n">
        <v>60.67</v>
      </c>
      <c r="K348" s="1" t="n">
        <v>39.33</v>
      </c>
      <c r="L348" s="1" t="s">
        <v>38</v>
      </c>
      <c r="M348" s="1" t="n">
        <v>36156.86</v>
      </c>
      <c r="N348" s="1" t="str">
        <f aca="false">IF(K348&gt;65,"High Risk",IF(K348&gt;=40,"Medium Risk","Low Risk"))</f>
        <v>Low Risk</v>
      </c>
      <c r="O348" s="20" t="b">
        <f aca="false">AND(OR($D348=T1_Region,T1_Region="All Regions"),OR($E348=T1_Income,T1_Income="All Income Groups"))</f>
        <v>1</v>
      </c>
    </row>
    <row r="349" customFormat="false" ht="15" hidden="false" customHeight="true" outlineLevel="0" collapsed="false">
      <c r="A349" s="1" t="s">
        <v>145</v>
      </c>
      <c r="B349" s="1" t="s">
        <v>146</v>
      </c>
      <c r="C349" s="1" t="n">
        <v>2024</v>
      </c>
      <c r="D349" s="1" t="s">
        <v>108</v>
      </c>
      <c r="E349" s="1" t="s">
        <v>86</v>
      </c>
      <c r="F349" s="1" t="n">
        <v>63.09</v>
      </c>
      <c r="G349" s="1" t="n">
        <v>60.59</v>
      </c>
      <c r="H349" s="1" t="n">
        <v>66.06</v>
      </c>
      <c r="I349" s="1" t="n">
        <v>65.07</v>
      </c>
      <c r="J349" s="1" t="n">
        <v>63.7</v>
      </c>
      <c r="K349" s="1" t="n">
        <v>36.3</v>
      </c>
      <c r="L349" s="1" t="s">
        <v>38</v>
      </c>
      <c r="M349" s="1" t="n">
        <v>35527.79</v>
      </c>
      <c r="N349" s="1" t="str">
        <f aca="false">IF(K349&gt;65,"High Risk",IF(K349&gt;=40,"Medium Risk","Low Risk"))</f>
        <v>Low Risk</v>
      </c>
      <c r="O349" s="20" t="b">
        <f aca="false">AND(OR($D349=T1_Region,T1_Region="All Regions"),OR($E349=T1_Income,T1_Income="All Income Groups"))</f>
        <v>1</v>
      </c>
    </row>
    <row r="350" customFormat="false" ht="15" hidden="false" customHeight="true" outlineLevel="0" collapsed="false">
      <c r="A350" s="1" t="s">
        <v>147</v>
      </c>
      <c r="B350" s="1" t="s">
        <v>148</v>
      </c>
      <c r="C350" s="1" t="n">
        <v>2013</v>
      </c>
      <c r="D350" s="1" t="s">
        <v>104</v>
      </c>
      <c r="E350" s="1" t="s">
        <v>82</v>
      </c>
      <c r="F350" s="1" t="n">
        <v>47.18</v>
      </c>
      <c r="G350" s="1" t="n">
        <v>57.39</v>
      </c>
      <c r="H350" s="1" t="n">
        <v>64.72</v>
      </c>
      <c r="I350" s="1" t="n">
        <v>61.48</v>
      </c>
      <c r="J350" s="1" t="n">
        <v>57.69</v>
      </c>
      <c r="K350" s="1" t="n">
        <v>42.31</v>
      </c>
      <c r="L350" s="1" t="s">
        <v>37</v>
      </c>
      <c r="M350" s="1" t="n">
        <v>7331.65</v>
      </c>
      <c r="N350" s="1" t="str">
        <f aca="false">IF(K350&gt;65,"High Risk",IF(K350&gt;=40,"Medium Risk","Low Risk"))</f>
        <v>Medium Risk</v>
      </c>
      <c r="O350" s="20" t="b">
        <f aca="false">AND(OR($D350=T1_Region,T1_Region="All Regions"),OR($E350=T1_Income,T1_Income="All Income Groups"))</f>
        <v>1</v>
      </c>
    </row>
    <row r="351" customFormat="false" ht="15" hidden="false" customHeight="true" outlineLevel="0" collapsed="false">
      <c r="A351" s="1" t="s">
        <v>147</v>
      </c>
      <c r="B351" s="1" t="s">
        <v>148</v>
      </c>
      <c r="C351" s="1" t="n">
        <v>2014</v>
      </c>
      <c r="D351" s="1" t="s">
        <v>104</v>
      </c>
      <c r="E351" s="1" t="s">
        <v>82</v>
      </c>
      <c r="F351" s="1" t="n">
        <v>47.56</v>
      </c>
      <c r="G351" s="1" t="n">
        <v>58.18</v>
      </c>
      <c r="H351" s="1" t="n">
        <v>61.2</v>
      </c>
      <c r="I351" s="1" t="n">
        <v>61.95</v>
      </c>
      <c r="J351" s="1" t="n">
        <v>57.22</v>
      </c>
      <c r="K351" s="1" t="n">
        <v>42.78</v>
      </c>
      <c r="L351" s="1" t="s">
        <v>37</v>
      </c>
      <c r="M351" s="1" t="n">
        <v>6856.73</v>
      </c>
      <c r="N351" s="1" t="str">
        <f aca="false">IF(K351&gt;65,"High Risk",IF(K351&gt;=40,"Medium Risk","Low Risk"))</f>
        <v>Medium Risk</v>
      </c>
      <c r="O351" s="20" t="b">
        <f aca="false">AND(OR($D351=T1_Region,T1_Region="All Regions"),OR($E351=T1_Income,T1_Income="All Income Groups"))</f>
        <v>1</v>
      </c>
    </row>
    <row r="352" customFormat="false" ht="15" hidden="false" customHeight="true" outlineLevel="0" collapsed="false">
      <c r="A352" s="1" t="s">
        <v>147</v>
      </c>
      <c r="B352" s="1" t="s">
        <v>148</v>
      </c>
      <c r="C352" s="1" t="n">
        <v>2015</v>
      </c>
      <c r="D352" s="1" t="s">
        <v>104</v>
      </c>
      <c r="E352" s="1" t="s">
        <v>82</v>
      </c>
      <c r="F352" s="1" t="n">
        <v>48.09</v>
      </c>
      <c r="G352" s="1" t="n">
        <v>57.72</v>
      </c>
      <c r="H352" s="1" t="n">
        <v>59.51</v>
      </c>
      <c r="I352" s="1" t="n">
        <v>60.59</v>
      </c>
      <c r="J352" s="1" t="n">
        <v>56.48</v>
      </c>
      <c r="K352" s="1" t="n">
        <v>43.52</v>
      </c>
      <c r="L352" s="1" t="s">
        <v>37</v>
      </c>
      <c r="M352" s="1" t="n">
        <v>6112.27</v>
      </c>
      <c r="N352" s="1" t="str">
        <f aca="false">IF(K352&gt;65,"High Risk",IF(K352&gt;=40,"Medium Risk","Low Risk"))</f>
        <v>Medium Risk</v>
      </c>
      <c r="O352" s="20" t="b">
        <f aca="false">AND(OR($D352=T1_Region,T1_Region="All Regions"),OR($E352=T1_Income,T1_Income="All Income Groups"))</f>
        <v>1</v>
      </c>
    </row>
    <row r="353" customFormat="false" ht="15" hidden="false" customHeight="true" outlineLevel="0" collapsed="false">
      <c r="A353" s="1" t="s">
        <v>147</v>
      </c>
      <c r="B353" s="1" t="s">
        <v>148</v>
      </c>
      <c r="C353" s="1" t="n">
        <v>2016</v>
      </c>
      <c r="D353" s="1" t="s">
        <v>104</v>
      </c>
      <c r="E353" s="1" t="s">
        <v>82</v>
      </c>
      <c r="F353" s="1" t="n">
        <v>48.47</v>
      </c>
      <c r="G353" s="1" t="n">
        <v>58.17</v>
      </c>
      <c r="H353" s="1" t="n">
        <v>58.98</v>
      </c>
      <c r="I353" s="1" t="n">
        <v>60.12</v>
      </c>
      <c r="J353" s="1" t="n">
        <v>56.44</v>
      </c>
      <c r="K353" s="1" t="n">
        <v>43.56</v>
      </c>
      <c r="L353" s="1" t="s">
        <v>37</v>
      </c>
      <c r="M353" s="1" t="n">
        <v>5651.21</v>
      </c>
      <c r="N353" s="1" t="str">
        <f aca="false">IF(K353&gt;65,"High Risk",IF(K353&gt;=40,"Medium Risk","Low Risk"))</f>
        <v>Medium Risk</v>
      </c>
      <c r="O353" s="20" t="b">
        <f aca="false">AND(OR($D353=T1_Region,T1_Region="All Regions"),OR($E353=T1_Income,T1_Income="All Income Groups"))</f>
        <v>1</v>
      </c>
    </row>
    <row r="354" customFormat="false" ht="15" hidden="false" customHeight="true" outlineLevel="0" collapsed="false">
      <c r="A354" s="1" t="s">
        <v>147</v>
      </c>
      <c r="B354" s="1" t="s">
        <v>148</v>
      </c>
      <c r="C354" s="1" t="n">
        <v>2017</v>
      </c>
      <c r="D354" s="1" t="s">
        <v>104</v>
      </c>
      <c r="E354" s="1" t="s">
        <v>82</v>
      </c>
      <c r="F354" s="1" t="n">
        <v>46.24</v>
      </c>
      <c r="G354" s="1" t="n">
        <v>57.21</v>
      </c>
      <c r="H354" s="1" t="n">
        <v>58.49</v>
      </c>
      <c r="I354" s="1" t="n">
        <v>59.36</v>
      </c>
      <c r="J354" s="1" t="n">
        <v>55.32</v>
      </c>
      <c r="K354" s="1" t="n">
        <v>44.68</v>
      </c>
      <c r="L354" s="1" t="s">
        <v>37</v>
      </c>
      <c r="M354" s="1" t="n">
        <v>6618.34</v>
      </c>
      <c r="N354" s="1" t="str">
        <f aca="false">IF(K354&gt;65,"High Risk",IF(K354&gt;=40,"Medium Risk","Low Risk"))</f>
        <v>Medium Risk</v>
      </c>
      <c r="O354" s="20" t="b">
        <f aca="false">AND(OR($D354=T1_Region,T1_Region="All Regions"),OR($E354=T1_Income,T1_Income="All Income Groups"))</f>
        <v>1</v>
      </c>
    </row>
    <row r="355" customFormat="false" ht="15" hidden="false" customHeight="true" outlineLevel="0" collapsed="false">
      <c r="A355" s="1" t="s">
        <v>147</v>
      </c>
      <c r="B355" s="1" t="s">
        <v>148</v>
      </c>
      <c r="C355" s="1" t="n">
        <v>2018</v>
      </c>
      <c r="D355" s="1" t="s">
        <v>104</v>
      </c>
      <c r="E355" s="1" t="s">
        <v>82</v>
      </c>
      <c r="F355" s="1" t="n">
        <v>46.9</v>
      </c>
      <c r="G355" s="1" t="n">
        <v>55.79</v>
      </c>
      <c r="H355" s="1" t="n">
        <v>55.94</v>
      </c>
      <c r="I355" s="1" t="n">
        <v>60.78</v>
      </c>
      <c r="J355" s="1" t="n">
        <v>54.85</v>
      </c>
      <c r="K355" s="1" t="n">
        <v>45.15</v>
      </c>
      <c r="L355" s="1" t="s">
        <v>37</v>
      </c>
      <c r="M355" s="1" t="n">
        <v>6914.18</v>
      </c>
      <c r="N355" s="1" t="str">
        <f aca="false">IF(K355&gt;65,"High Risk",IF(K355&gt;=40,"Medium Risk","Low Risk"))</f>
        <v>Medium Risk</v>
      </c>
      <c r="O355" s="20" t="b">
        <f aca="false">AND(OR($D355=T1_Region,T1_Region="All Regions"),OR($E355=T1_Income,T1_Income="All Income Groups"))</f>
        <v>1</v>
      </c>
    </row>
    <row r="356" customFormat="false" ht="15" hidden="false" customHeight="true" outlineLevel="0" collapsed="false">
      <c r="A356" s="1" t="s">
        <v>147</v>
      </c>
      <c r="B356" s="1" t="s">
        <v>148</v>
      </c>
      <c r="C356" s="1" t="n">
        <v>2019</v>
      </c>
      <c r="D356" s="1" t="s">
        <v>104</v>
      </c>
      <c r="E356" s="1" t="s">
        <v>82</v>
      </c>
      <c r="F356" s="1" t="n">
        <v>48.56</v>
      </c>
      <c r="G356" s="1" t="n">
        <v>55.68</v>
      </c>
      <c r="H356" s="1" t="n">
        <v>56.74</v>
      </c>
      <c r="I356" s="1" t="n">
        <v>60.12</v>
      </c>
      <c r="J356" s="1" t="n">
        <v>55.27</v>
      </c>
      <c r="K356" s="1" t="n">
        <v>44.73</v>
      </c>
      <c r="L356" s="1" t="s">
        <v>37</v>
      </c>
      <c r="M356" s="1" t="n">
        <v>6533.71</v>
      </c>
      <c r="N356" s="1" t="str">
        <f aca="false">IF(K356&gt;65,"High Risk",IF(K356&gt;=40,"Medium Risk","Low Risk"))</f>
        <v>Medium Risk</v>
      </c>
      <c r="O356" s="20" t="b">
        <f aca="false">AND(OR($D356=T1_Region,T1_Region="All Regions"),OR($E356=T1_Income,T1_Income="All Income Groups"))</f>
        <v>1</v>
      </c>
    </row>
    <row r="357" customFormat="false" ht="15" hidden="false" customHeight="true" outlineLevel="0" collapsed="false">
      <c r="A357" s="1" t="s">
        <v>147</v>
      </c>
      <c r="B357" s="1" t="s">
        <v>148</v>
      </c>
      <c r="C357" s="1" t="n">
        <v>2020</v>
      </c>
      <c r="D357" s="1" t="s">
        <v>104</v>
      </c>
      <c r="E357" s="1" t="s">
        <v>82</v>
      </c>
      <c r="F357" s="1" t="n">
        <v>48.37</v>
      </c>
      <c r="G357" s="1" t="n">
        <v>55.91</v>
      </c>
      <c r="H357" s="1" t="n">
        <v>56.28</v>
      </c>
      <c r="I357" s="1" t="n">
        <v>61.64</v>
      </c>
      <c r="J357" s="1" t="n">
        <v>55.55</v>
      </c>
      <c r="K357" s="1" t="n">
        <v>44.45</v>
      </c>
      <c r="L357" s="1" t="s">
        <v>37</v>
      </c>
      <c r="M357" s="1" t="n">
        <v>5580.6</v>
      </c>
      <c r="N357" s="1" t="str">
        <f aca="false">IF(K357&gt;65,"High Risk",IF(K357&gt;=40,"Medium Risk","Low Risk"))</f>
        <v>Medium Risk</v>
      </c>
      <c r="O357" s="20" t="b">
        <f aca="false">AND(OR($D357=T1_Region,T1_Region="All Regions"),OR($E357=T1_Income,T1_Income="All Income Groups"))</f>
        <v>1</v>
      </c>
    </row>
    <row r="358" customFormat="false" ht="15" hidden="false" customHeight="true" outlineLevel="0" collapsed="false">
      <c r="A358" s="1" t="s">
        <v>147</v>
      </c>
      <c r="B358" s="1" t="s">
        <v>148</v>
      </c>
      <c r="C358" s="1" t="n">
        <v>2021</v>
      </c>
      <c r="D358" s="1" t="s">
        <v>104</v>
      </c>
      <c r="E358" s="1" t="s">
        <v>82</v>
      </c>
      <c r="F358" s="1" t="n">
        <v>49.16</v>
      </c>
      <c r="G358" s="1" t="n">
        <v>59.05</v>
      </c>
      <c r="H358" s="1" t="n">
        <v>55.14</v>
      </c>
      <c r="I358" s="1" t="n">
        <v>52.68</v>
      </c>
      <c r="J358" s="1" t="n">
        <v>54.01</v>
      </c>
      <c r="K358" s="1" t="n">
        <v>45.99</v>
      </c>
      <c r="L358" s="1" t="s">
        <v>37</v>
      </c>
      <c r="M358" s="1" t="n">
        <v>6828.76</v>
      </c>
      <c r="N358" s="1" t="str">
        <f aca="false">IF(K358&gt;65,"High Risk",IF(K358&gt;=40,"Medium Risk","Low Risk"))</f>
        <v>Medium Risk</v>
      </c>
      <c r="O358" s="20" t="b">
        <f aca="false">AND(OR($D358=T1_Region,T1_Region="All Regions"),OR($E358=T1_Income,T1_Income="All Income Groups"))</f>
        <v>1</v>
      </c>
    </row>
    <row r="359" customFormat="false" ht="15" hidden="false" customHeight="true" outlineLevel="0" collapsed="false">
      <c r="A359" s="1" t="s">
        <v>147</v>
      </c>
      <c r="B359" s="1" t="s">
        <v>148</v>
      </c>
      <c r="C359" s="1" t="n">
        <v>2022</v>
      </c>
      <c r="D359" s="1" t="s">
        <v>104</v>
      </c>
      <c r="E359" s="1" t="s">
        <v>82</v>
      </c>
      <c r="F359" s="1" t="n">
        <v>44.55</v>
      </c>
      <c r="G359" s="1" t="n">
        <v>57.55</v>
      </c>
      <c r="H359" s="1" t="n">
        <v>53.88</v>
      </c>
      <c r="I359" s="1" t="n">
        <v>54.21</v>
      </c>
      <c r="J359" s="1" t="n">
        <v>52.55</v>
      </c>
      <c r="K359" s="1" t="n">
        <v>47.45</v>
      </c>
      <c r="L359" s="1" t="s">
        <v>37</v>
      </c>
      <c r="M359" s="1" t="n">
        <v>6534.25</v>
      </c>
      <c r="N359" s="1" t="str">
        <f aca="false">IF(K359&gt;65,"High Risk",IF(K359&gt;=40,"Medium Risk","Low Risk"))</f>
        <v>Medium Risk</v>
      </c>
      <c r="O359" s="20" t="b">
        <f aca="false">AND(OR($D359=T1_Region,T1_Region="All Regions"),OR($E359=T1_Income,T1_Income="All Income Groups"))</f>
        <v>1</v>
      </c>
    </row>
    <row r="360" customFormat="false" ht="15" hidden="false" customHeight="true" outlineLevel="0" collapsed="false">
      <c r="A360" s="1" t="s">
        <v>147</v>
      </c>
      <c r="B360" s="1" t="s">
        <v>148</v>
      </c>
      <c r="C360" s="1" t="n">
        <v>2023</v>
      </c>
      <c r="D360" s="1" t="s">
        <v>104</v>
      </c>
      <c r="E360" s="1" t="s">
        <v>82</v>
      </c>
      <c r="F360" s="1" t="n">
        <v>43.61</v>
      </c>
      <c r="G360" s="1" t="n">
        <v>57.64</v>
      </c>
      <c r="H360" s="1" t="n">
        <v>53.88</v>
      </c>
      <c r="I360" s="1" t="n">
        <v>54.97</v>
      </c>
      <c r="J360" s="1" t="n">
        <v>52.53</v>
      </c>
      <c r="K360" s="1" t="n">
        <v>47.47</v>
      </c>
      <c r="L360" s="1" t="s">
        <v>37</v>
      </c>
      <c r="M360" s="1" t="n">
        <v>6034.27</v>
      </c>
      <c r="N360" s="1" t="str">
        <f aca="false">IF(K360&gt;65,"High Risk",IF(K360&gt;=40,"Medium Risk","Low Risk"))</f>
        <v>Medium Risk</v>
      </c>
      <c r="O360" s="20" t="b">
        <f aca="false">AND(OR($D360=T1_Region,T1_Region="All Regions"),OR($E360=T1_Income,T1_Income="All Income Groups"))</f>
        <v>1</v>
      </c>
    </row>
    <row r="361" customFormat="false" ht="15" hidden="false" customHeight="true" outlineLevel="0" collapsed="false">
      <c r="A361" s="1" t="s">
        <v>147</v>
      </c>
      <c r="B361" s="1" t="s">
        <v>148</v>
      </c>
      <c r="C361" s="1" t="n">
        <v>2024</v>
      </c>
      <c r="D361" s="1" t="s">
        <v>104</v>
      </c>
      <c r="E361" s="1" t="s">
        <v>82</v>
      </c>
      <c r="F361" s="1" t="n">
        <v>43.97</v>
      </c>
      <c r="G361" s="1" t="n">
        <v>57.27</v>
      </c>
      <c r="H361" s="1" t="n">
        <v>53.91</v>
      </c>
      <c r="I361" s="1" t="n">
        <v>55.35</v>
      </c>
      <c r="J361" s="1" t="n">
        <v>52.63</v>
      </c>
      <c r="K361" s="1" t="n">
        <v>47.37</v>
      </c>
      <c r="L361" s="1" t="s">
        <v>37</v>
      </c>
      <c r="M361" s="1" t="n">
        <v>6267.19</v>
      </c>
      <c r="N361" s="1" t="str">
        <f aca="false">IF(K361&gt;65,"High Risk",IF(K361&gt;=40,"Medium Risk","Low Risk"))</f>
        <v>Medium Risk</v>
      </c>
      <c r="O361" s="20" t="b">
        <f aca="false">AND(OR($D361=T1_Region,T1_Region="All Regions"),OR($E361=T1_Income,T1_Income="All Income Groups"))</f>
        <v>1</v>
      </c>
    </row>
    <row r="362" customFormat="false" ht="15" hidden="false" customHeight="true" outlineLevel="0" collapsed="false">
      <c r="A362" s="1" t="s">
        <v>149</v>
      </c>
      <c r="B362" s="1" t="s">
        <v>150</v>
      </c>
      <c r="C362" s="1" t="n">
        <v>2013</v>
      </c>
      <c r="D362" s="1" t="s">
        <v>89</v>
      </c>
      <c r="E362" s="1" t="s">
        <v>90</v>
      </c>
      <c r="F362" s="1" t="n">
        <v>41.57</v>
      </c>
      <c r="G362" s="1" t="n">
        <v>50.84</v>
      </c>
      <c r="H362" s="1" t="n">
        <v>53.66</v>
      </c>
      <c r="I362" s="1" t="n">
        <v>51.23</v>
      </c>
      <c r="J362" s="1" t="n">
        <v>49.32</v>
      </c>
      <c r="K362" s="1" t="n">
        <v>50.68</v>
      </c>
      <c r="L362" s="1" t="s">
        <v>37</v>
      </c>
      <c r="M362" s="1" t="n">
        <v>3739.43</v>
      </c>
      <c r="N362" s="1" t="str">
        <f aca="false">IF(K362&gt;65,"High Risk",IF(K362&gt;=40,"Medium Risk","Low Risk"))</f>
        <v>Medium Risk</v>
      </c>
      <c r="O362" s="20" t="b">
        <f aca="false">AND(OR($D362=T1_Region,T1_Region="All Regions"),OR($E362=T1_Income,T1_Income="All Income Groups"))</f>
        <v>1</v>
      </c>
    </row>
    <row r="363" customFormat="false" ht="15" hidden="false" customHeight="true" outlineLevel="0" collapsed="false">
      <c r="A363" s="1" t="s">
        <v>149</v>
      </c>
      <c r="B363" s="1" t="s">
        <v>150</v>
      </c>
      <c r="C363" s="1" t="n">
        <v>2014</v>
      </c>
      <c r="D363" s="1" t="s">
        <v>89</v>
      </c>
      <c r="E363" s="1" t="s">
        <v>90</v>
      </c>
      <c r="F363" s="1" t="n">
        <v>38.74</v>
      </c>
      <c r="G363" s="1" t="n">
        <v>50.76</v>
      </c>
      <c r="H363" s="1" t="n">
        <v>54.76</v>
      </c>
      <c r="I363" s="1" t="n">
        <v>56.44</v>
      </c>
      <c r="J363" s="1" t="n">
        <v>50.18</v>
      </c>
      <c r="K363" s="1" t="n">
        <v>49.82</v>
      </c>
      <c r="L363" s="1" t="s">
        <v>37</v>
      </c>
      <c r="M363" s="1" t="n">
        <v>3972.04</v>
      </c>
      <c r="N363" s="1" t="str">
        <f aca="false">IF(K363&gt;65,"High Risk",IF(K363&gt;=40,"Medium Risk","Low Risk"))</f>
        <v>Medium Risk</v>
      </c>
      <c r="O363" s="20" t="b">
        <f aca="false">AND(OR($D363=T1_Region,T1_Region="All Regions"),OR($E363=T1_Income,T1_Income="All Income Groups"))</f>
        <v>1</v>
      </c>
    </row>
    <row r="364" customFormat="false" ht="15" hidden="false" customHeight="true" outlineLevel="0" collapsed="false">
      <c r="A364" s="1" t="s">
        <v>149</v>
      </c>
      <c r="B364" s="1" t="s">
        <v>150</v>
      </c>
      <c r="C364" s="1" t="n">
        <v>2015</v>
      </c>
      <c r="D364" s="1" t="s">
        <v>89</v>
      </c>
      <c r="E364" s="1" t="s">
        <v>90</v>
      </c>
      <c r="F364" s="1" t="n">
        <v>40.95</v>
      </c>
      <c r="G364" s="1" t="n">
        <v>55.06</v>
      </c>
      <c r="H364" s="1" t="n">
        <v>55.35</v>
      </c>
      <c r="I364" s="1" t="n">
        <v>64.38</v>
      </c>
      <c r="J364" s="1" t="n">
        <v>53.93</v>
      </c>
      <c r="K364" s="1" t="n">
        <v>46.07</v>
      </c>
      <c r="L364" s="1" t="s">
        <v>37</v>
      </c>
      <c r="M364" s="1" t="n">
        <v>4057.72</v>
      </c>
      <c r="N364" s="1" t="str">
        <f aca="false">IF(K364&gt;65,"High Risk",IF(K364&gt;=40,"Medium Risk","Low Risk"))</f>
        <v>Medium Risk</v>
      </c>
      <c r="O364" s="20" t="b">
        <f aca="false">AND(OR($D364=T1_Region,T1_Region="All Regions"),OR($E364=T1_Income,T1_Income="All Income Groups"))</f>
        <v>1</v>
      </c>
    </row>
    <row r="365" customFormat="false" ht="15" hidden="false" customHeight="true" outlineLevel="0" collapsed="false">
      <c r="A365" s="1" t="s">
        <v>149</v>
      </c>
      <c r="B365" s="1" t="s">
        <v>150</v>
      </c>
      <c r="C365" s="1" t="n">
        <v>2016</v>
      </c>
      <c r="D365" s="1" t="s">
        <v>89</v>
      </c>
      <c r="E365" s="1" t="s">
        <v>90</v>
      </c>
      <c r="F365" s="1" t="n">
        <v>42.77</v>
      </c>
      <c r="G365" s="1" t="n">
        <v>55.13</v>
      </c>
      <c r="H365" s="1" t="n">
        <v>54.16</v>
      </c>
      <c r="I365" s="1" t="n">
        <v>63.44</v>
      </c>
      <c r="J365" s="1" t="n">
        <v>53.88</v>
      </c>
      <c r="K365" s="1" t="n">
        <v>46.12</v>
      </c>
      <c r="L365" s="1" t="s">
        <v>37</v>
      </c>
      <c r="M365" s="1" t="n">
        <v>4149.19</v>
      </c>
      <c r="N365" s="1" t="str">
        <f aca="false">IF(K365&gt;65,"High Risk",IF(K365&gt;=40,"Medium Risk","Low Risk"))</f>
        <v>Medium Risk</v>
      </c>
      <c r="O365" s="20" t="b">
        <f aca="false">AND(OR($D365=T1_Region,T1_Region="All Regions"),OR($E365=T1_Income,T1_Income="All Income Groups"))</f>
        <v>1</v>
      </c>
    </row>
    <row r="366" customFormat="false" ht="15" hidden="false" customHeight="true" outlineLevel="0" collapsed="false">
      <c r="A366" s="1" t="s">
        <v>149</v>
      </c>
      <c r="B366" s="1" t="s">
        <v>150</v>
      </c>
      <c r="C366" s="1" t="n">
        <v>2017</v>
      </c>
      <c r="D366" s="1" t="s">
        <v>89</v>
      </c>
      <c r="E366" s="1" t="s">
        <v>90</v>
      </c>
      <c r="F366" s="1" t="n">
        <v>41.62</v>
      </c>
      <c r="G366" s="1" t="n">
        <v>55.04</v>
      </c>
      <c r="H366" s="1" t="n">
        <v>53.02</v>
      </c>
      <c r="I366" s="1" t="n">
        <v>62.83</v>
      </c>
      <c r="J366" s="1" t="n">
        <v>53.13</v>
      </c>
      <c r="K366" s="1" t="n">
        <v>46.87</v>
      </c>
      <c r="L366" s="1" t="s">
        <v>37</v>
      </c>
      <c r="M366" s="1" t="n">
        <v>4398.89</v>
      </c>
      <c r="N366" s="1" t="str">
        <f aca="false">IF(K366&gt;65,"High Risk",IF(K366&gt;=40,"Medium Risk","Low Risk"))</f>
        <v>Medium Risk</v>
      </c>
      <c r="O366" s="20" t="b">
        <f aca="false">AND(OR($D366=T1_Region,T1_Region="All Regions"),OR($E366=T1_Income,T1_Income="All Income Groups"))</f>
        <v>1</v>
      </c>
    </row>
    <row r="367" customFormat="false" ht="15" hidden="false" customHeight="true" outlineLevel="0" collapsed="false">
      <c r="A367" s="1" t="s">
        <v>149</v>
      </c>
      <c r="B367" s="1" t="s">
        <v>150</v>
      </c>
      <c r="C367" s="1" t="n">
        <v>2018</v>
      </c>
      <c r="D367" s="1" t="s">
        <v>89</v>
      </c>
      <c r="E367" s="1" t="s">
        <v>90</v>
      </c>
      <c r="F367" s="1" t="n">
        <v>43.71</v>
      </c>
      <c r="G367" s="1" t="n">
        <v>55.97</v>
      </c>
      <c r="H367" s="1" t="n">
        <v>51.87</v>
      </c>
      <c r="I367" s="1" t="n">
        <v>61.46</v>
      </c>
      <c r="J367" s="1" t="n">
        <v>53.25</v>
      </c>
      <c r="K367" s="1" t="n">
        <v>46.75</v>
      </c>
      <c r="L367" s="1" t="s">
        <v>37</v>
      </c>
      <c r="M367" s="1" t="n">
        <v>4358.56</v>
      </c>
      <c r="N367" s="1" t="str">
        <f aca="false">IF(K367&gt;65,"High Risk",IF(K367&gt;=40,"Medium Risk","Low Risk"))</f>
        <v>Medium Risk</v>
      </c>
      <c r="O367" s="20" t="b">
        <f aca="false">AND(OR($D367=T1_Region,T1_Region="All Regions"),OR($E367=T1_Income,T1_Income="All Income Groups"))</f>
        <v>1</v>
      </c>
    </row>
    <row r="368" customFormat="false" ht="15" hidden="false" customHeight="true" outlineLevel="0" collapsed="false">
      <c r="A368" s="1" t="s">
        <v>149</v>
      </c>
      <c r="B368" s="1" t="s">
        <v>150</v>
      </c>
      <c r="C368" s="1" t="n">
        <v>2019</v>
      </c>
      <c r="D368" s="1" t="s">
        <v>89</v>
      </c>
      <c r="E368" s="1" t="s">
        <v>90</v>
      </c>
      <c r="F368" s="1" t="n">
        <v>44.54</v>
      </c>
      <c r="G368" s="1" t="n">
        <v>55.62</v>
      </c>
      <c r="H368" s="1" t="n">
        <v>51.93</v>
      </c>
      <c r="I368" s="1" t="n">
        <v>62.93</v>
      </c>
      <c r="J368" s="1" t="n">
        <v>53.75</v>
      </c>
      <c r="K368" s="1" t="n">
        <v>46.25</v>
      </c>
      <c r="L368" s="1" t="s">
        <v>37</v>
      </c>
      <c r="M368" s="1" t="n">
        <v>4081.95</v>
      </c>
      <c r="N368" s="1" t="str">
        <f aca="false">IF(K368&gt;65,"High Risk",IF(K368&gt;=40,"Medium Risk","Low Risk"))</f>
        <v>Medium Risk</v>
      </c>
      <c r="O368" s="20" t="b">
        <f aca="false">AND(OR($D368=T1_Region,T1_Region="All Regions"),OR($E368=T1_Income,T1_Income="All Income Groups"))</f>
        <v>1</v>
      </c>
    </row>
    <row r="369" customFormat="false" ht="15" hidden="false" customHeight="true" outlineLevel="0" collapsed="false">
      <c r="A369" s="1" t="s">
        <v>149</v>
      </c>
      <c r="B369" s="1" t="s">
        <v>150</v>
      </c>
      <c r="C369" s="1" t="n">
        <v>2020</v>
      </c>
      <c r="D369" s="1" t="s">
        <v>89</v>
      </c>
      <c r="E369" s="1" t="s">
        <v>90</v>
      </c>
      <c r="F369" s="1" t="n">
        <v>42.27</v>
      </c>
      <c r="G369" s="1" t="n">
        <v>53.68</v>
      </c>
      <c r="H369" s="1" t="n">
        <v>53.09</v>
      </c>
      <c r="I369" s="1" t="n">
        <v>63.92</v>
      </c>
      <c r="J369" s="1" t="n">
        <v>53.24</v>
      </c>
      <c r="K369" s="1" t="n">
        <v>46.76</v>
      </c>
      <c r="L369" s="1" t="s">
        <v>37</v>
      </c>
      <c r="M369" s="1" t="n">
        <v>3847.6</v>
      </c>
      <c r="N369" s="1" t="str">
        <f aca="false">IF(K369&gt;65,"High Risk",IF(K369&gt;=40,"Medium Risk","Low Risk"))</f>
        <v>Medium Risk</v>
      </c>
      <c r="O369" s="20" t="b">
        <f aca="false">AND(OR($D369=T1_Region,T1_Region="All Regions"),OR($E369=T1_Income,T1_Income="All Income Groups"))</f>
        <v>1</v>
      </c>
    </row>
    <row r="370" customFormat="false" ht="15" hidden="false" customHeight="true" outlineLevel="0" collapsed="false">
      <c r="A370" s="1" t="s">
        <v>149</v>
      </c>
      <c r="B370" s="1" t="s">
        <v>150</v>
      </c>
      <c r="C370" s="1" t="n">
        <v>2021</v>
      </c>
      <c r="D370" s="1" t="s">
        <v>89</v>
      </c>
      <c r="E370" s="1" t="s">
        <v>90</v>
      </c>
      <c r="F370" s="1" t="n">
        <v>41.04</v>
      </c>
      <c r="G370" s="1" t="n">
        <v>52.98</v>
      </c>
      <c r="H370" s="1" t="n">
        <v>52.29</v>
      </c>
      <c r="I370" s="1" t="n">
        <v>57.17</v>
      </c>
      <c r="J370" s="1" t="n">
        <v>50.87</v>
      </c>
      <c r="K370" s="1" t="n">
        <v>49.13</v>
      </c>
      <c r="L370" s="1" t="s">
        <v>37</v>
      </c>
      <c r="M370" s="1" t="n">
        <v>3996.96</v>
      </c>
      <c r="N370" s="1" t="str">
        <f aca="false">IF(K370&gt;65,"High Risk",IF(K370&gt;=40,"Medium Risk","Low Risk"))</f>
        <v>Medium Risk</v>
      </c>
      <c r="O370" s="20" t="b">
        <f aca="false">AND(OR($D370=T1_Region,T1_Region="All Regions"),OR($E370=T1_Income,T1_Income="All Income Groups"))</f>
        <v>1</v>
      </c>
    </row>
    <row r="371" customFormat="false" ht="15" hidden="false" customHeight="true" outlineLevel="0" collapsed="false">
      <c r="A371" s="1" t="s">
        <v>149</v>
      </c>
      <c r="B371" s="1" t="s">
        <v>150</v>
      </c>
      <c r="C371" s="1" t="n">
        <v>2022</v>
      </c>
      <c r="D371" s="1" t="s">
        <v>89</v>
      </c>
      <c r="E371" s="1" t="s">
        <v>90</v>
      </c>
      <c r="F371" s="1" t="n">
        <v>40.7</v>
      </c>
      <c r="G371" s="1" t="n">
        <v>51.29</v>
      </c>
      <c r="H371" s="1" t="n">
        <v>47.66</v>
      </c>
      <c r="I371" s="1" t="n">
        <v>52.88</v>
      </c>
      <c r="J371" s="1" t="n">
        <v>48.13</v>
      </c>
      <c r="K371" s="1" t="n">
        <v>51.87</v>
      </c>
      <c r="L371" s="1" t="s">
        <v>37</v>
      </c>
      <c r="M371" s="1" t="n">
        <v>3342.64</v>
      </c>
      <c r="N371" s="1" t="str">
        <f aca="false">IF(K371&gt;65,"High Risk",IF(K371&gt;=40,"Medium Risk","Low Risk"))</f>
        <v>Medium Risk</v>
      </c>
      <c r="O371" s="20" t="b">
        <f aca="false">AND(OR($D371=T1_Region,T1_Region="All Regions"),OR($E371=T1_Income,T1_Income="All Income Groups"))</f>
        <v>1</v>
      </c>
    </row>
    <row r="372" customFormat="false" ht="15" hidden="false" customHeight="true" outlineLevel="0" collapsed="false">
      <c r="A372" s="1" t="s">
        <v>149</v>
      </c>
      <c r="B372" s="1" t="s">
        <v>150</v>
      </c>
      <c r="C372" s="1" t="n">
        <v>2023</v>
      </c>
      <c r="D372" s="1" t="s">
        <v>89</v>
      </c>
      <c r="E372" s="1" t="s">
        <v>90</v>
      </c>
      <c r="F372" s="1" t="n">
        <v>40.02</v>
      </c>
      <c r="G372" s="1" t="n">
        <v>51.53</v>
      </c>
      <c r="H372" s="1" t="n">
        <v>48.87</v>
      </c>
      <c r="I372" s="1" t="n">
        <v>54.45</v>
      </c>
      <c r="J372" s="1" t="n">
        <v>48.72</v>
      </c>
      <c r="K372" s="1" t="n">
        <v>51.28</v>
      </c>
      <c r="L372" s="1" t="s">
        <v>37</v>
      </c>
      <c r="M372" s="1" t="n">
        <v>3815.42</v>
      </c>
      <c r="N372" s="1" t="str">
        <f aca="false">IF(K372&gt;65,"High Risk",IF(K372&gt;=40,"Medium Risk","Low Risk"))</f>
        <v>Medium Risk</v>
      </c>
      <c r="O372" s="20" t="b">
        <f aca="false">AND(OR($D372=T1_Region,T1_Region="All Regions"),OR($E372=T1_Income,T1_Income="All Income Groups"))</f>
        <v>1</v>
      </c>
    </row>
    <row r="373" customFormat="false" ht="15" hidden="false" customHeight="true" outlineLevel="0" collapsed="false">
      <c r="A373" s="1" t="s">
        <v>149</v>
      </c>
      <c r="B373" s="1" t="s">
        <v>150</v>
      </c>
      <c r="C373" s="1" t="n">
        <v>2024</v>
      </c>
      <c r="D373" s="1" t="s">
        <v>89</v>
      </c>
      <c r="E373" s="1" t="s">
        <v>90</v>
      </c>
      <c r="F373" s="1" t="n">
        <v>40.07</v>
      </c>
      <c r="G373" s="1" t="n">
        <v>52.53</v>
      </c>
      <c r="H373" s="1" t="n">
        <v>50.14</v>
      </c>
      <c r="I373" s="1" t="n">
        <v>59.91</v>
      </c>
      <c r="J373" s="1" t="n">
        <v>50.66</v>
      </c>
      <c r="K373" s="1" t="n">
        <v>49.34</v>
      </c>
      <c r="L373" s="1" t="s">
        <v>37</v>
      </c>
      <c r="M373" s="1" t="n">
        <v>4545.36</v>
      </c>
      <c r="N373" s="1" t="str">
        <f aca="false">IF(K373&gt;65,"High Risk",IF(K373&gt;=40,"Medium Risk","Low Risk"))</f>
        <v>Medium Risk</v>
      </c>
      <c r="O373" s="20" t="b">
        <f aca="false">AND(OR($D373=T1_Region,T1_Region="All Regions"),OR($E373=T1_Income,T1_Income="All Income Groups"))</f>
        <v>1</v>
      </c>
    </row>
    <row r="374" customFormat="false" ht="15" hidden="false" customHeight="true" outlineLevel="0" collapsed="false">
      <c r="A374" s="1" t="s">
        <v>151</v>
      </c>
      <c r="B374" s="1" t="s">
        <v>152</v>
      </c>
      <c r="C374" s="1" t="n">
        <v>2013</v>
      </c>
      <c r="D374" s="1" t="s">
        <v>113</v>
      </c>
      <c r="E374" s="1" t="s">
        <v>82</v>
      </c>
      <c r="F374" s="1" t="n">
        <v>50.69</v>
      </c>
      <c r="G374" s="1" t="n">
        <v>54.99</v>
      </c>
      <c r="H374" s="1" t="n">
        <v>62.42</v>
      </c>
      <c r="I374" s="1" t="n">
        <v>48.26</v>
      </c>
      <c r="J374" s="1" t="n">
        <v>54.09</v>
      </c>
      <c r="K374" s="1" t="n">
        <v>45.91</v>
      </c>
      <c r="L374" s="1" t="s">
        <v>37</v>
      </c>
      <c r="M374" s="1" t="n">
        <v>12635.56</v>
      </c>
      <c r="N374" s="1" t="str">
        <f aca="false">IF(K374&gt;65,"High Risk",IF(K374&gt;=40,"Medium Risk","Low Risk"))</f>
        <v>Medium Risk</v>
      </c>
      <c r="O374" s="20" t="b">
        <f aca="false">AND(OR($D374=T1_Region,T1_Region="All Regions"),OR($E374=T1_Income,T1_Income="All Income Groups"))</f>
        <v>1</v>
      </c>
    </row>
    <row r="375" customFormat="false" ht="15" hidden="false" customHeight="true" outlineLevel="0" collapsed="false">
      <c r="A375" s="1" t="s">
        <v>151</v>
      </c>
      <c r="B375" s="1" t="s">
        <v>152</v>
      </c>
      <c r="C375" s="1" t="n">
        <v>2014</v>
      </c>
      <c r="D375" s="1" t="s">
        <v>113</v>
      </c>
      <c r="E375" s="1" t="s">
        <v>82</v>
      </c>
      <c r="F375" s="1" t="n">
        <v>45.65</v>
      </c>
      <c r="G375" s="1" t="n">
        <v>50.75</v>
      </c>
      <c r="H375" s="1" t="n">
        <v>60.68</v>
      </c>
      <c r="I375" s="1" t="n">
        <v>52.23</v>
      </c>
      <c r="J375" s="1" t="n">
        <v>52.33</v>
      </c>
      <c r="K375" s="1" t="n">
        <v>47.67</v>
      </c>
      <c r="L375" s="1" t="s">
        <v>37</v>
      </c>
      <c r="M375" s="1" t="n">
        <v>12209.39</v>
      </c>
      <c r="N375" s="1" t="str">
        <f aca="false">IF(K375&gt;65,"High Risk",IF(K375&gt;=40,"Medium Risk","Low Risk"))</f>
        <v>Medium Risk</v>
      </c>
      <c r="O375" s="20" t="b">
        <f aca="false">AND(OR($D375=T1_Region,T1_Region="All Regions"),OR($E375=T1_Income,T1_Income="All Income Groups"))</f>
        <v>1</v>
      </c>
    </row>
    <row r="376" customFormat="false" ht="15" hidden="false" customHeight="true" outlineLevel="0" collapsed="false">
      <c r="A376" s="1" t="s">
        <v>151</v>
      </c>
      <c r="B376" s="1" t="s">
        <v>152</v>
      </c>
      <c r="C376" s="1" t="n">
        <v>2015</v>
      </c>
      <c r="D376" s="1" t="s">
        <v>113</v>
      </c>
      <c r="E376" s="1" t="s">
        <v>82</v>
      </c>
      <c r="F376" s="1" t="n">
        <v>45.7</v>
      </c>
      <c r="G376" s="1" t="n">
        <v>48.75</v>
      </c>
      <c r="H376" s="1" t="n">
        <v>58.29</v>
      </c>
      <c r="I376" s="1" t="n">
        <v>46.94</v>
      </c>
      <c r="J376" s="1" t="n">
        <v>49.92</v>
      </c>
      <c r="K376" s="1" t="n">
        <v>50.08</v>
      </c>
      <c r="L376" s="1" t="s">
        <v>37</v>
      </c>
      <c r="M376" s="1" t="n">
        <v>11064.65</v>
      </c>
      <c r="N376" s="1" t="str">
        <f aca="false">IF(K376&gt;65,"High Risk",IF(K376&gt;=40,"Medium Risk","Low Risk"))</f>
        <v>Medium Risk</v>
      </c>
      <c r="O376" s="20" t="b">
        <f aca="false">AND(OR($D376=T1_Region,T1_Region="All Regions"),OR($E376=T1_Income,T1_Income="All Income Groups"))</f>
        <v>1</v>
      </c>
    </row>
    <row r="377" customFormat="false" ht="15" hidden="false" customHeight="true" outlineLevel="0" collapsed="false">
      <c r="A377" s="1" t="s">
        <v>151</v>
      </c>
      <c r="B377" s="1" t="s">
        <v>152</v>
      </c>
      <c r="C377" s="1" t="n">
        <v>2016</v>
      </c>
      <c r="D377" s="1" t="s">
        <v>113</v>
      </c>
      <c r="E377" s="1" t="s">
        <v>82</v>
      </c>
      <c r="F377" s="1" t="n">
        <v>46.14</v>
      </c>
      <c r="G377" s="1" t="n">
        <v>47.57</v>
      </c>
      <c r="H377" s="1" t="n">
        <v>57.3</v>
      </c>
      <c r="I377" s="1" t="n">
        <v>35.49</v>
      </c>
      <c r="J377" s="1" t="n">
        <v>46.62</v>
      </c>
      <c r="K377" s="1" t="n">
        <v>53.38</v>
      </c>
      <c r="L377" s="1" t="s">
        <v>37</v>
      </c>
      <c r="M377" s="1" t="n">
        <v>10984.36</v>
      </c>
      <c r="N377" s="1" t="str">
        <f aca="false">IF(K377&gt;65,"High Risk",IF(K377&gt;=40,"Medium Risk","Low Risk"))</f>
        <v>Medium Risk</v>
      </c>
      <c r="O377" s="20" t="b">
        <f aca="false">AND(OR($D377=T1_Region,T1_Region="All Regions"),OR($E377=T1_Income,T1_Income="All Income Groups"))</f>
        <v>1</v>
      </c>
    </row>
    <row r="378" customFormat="false" ht="15" hidden="false" customHeight="true" outlineLevel="0" collapsed="false">
      <c r="A378" s="1" t="s">
        <v>151</v>
      </c>
      <c r="B378" s="1" t="s">
        <v>152</v>
      </c>
      <c r="C378" s="1" t="n">
        <v>2017</v>
      </c>
      <c r="D378" s="1" t="s">
        <v>113</v>
      </c>
      <c r="E378" s="1" t="s">
        <v>82</v>
      </c>
      <c r="F378" s="1" t="n">
        <v>46.51</v>
      </c>
      <c r="G378" s="1" t="n">
        <v>46.37</v>
      </c>
      <c r="H378" s="1" t="n">
        <v>57.13</v>
      </c>
      <c r="I378" s="1" t="n">
        <v>36.75</v>
      </c>
      <c r="J378" s="1" t="n">
        <v>46.69</v>
      </c>
      <c r="K378" s="1" t="n">
        <v>53.31</v>
      </c>
      <c r="L378" s="1" t="s">
        <v>37</v>
      </c>
      <c r="M378" s="1" t="n">
        <v>10756.39</v>
      </c>
      <c r="N378" s="1" t="str">
        <f aca="false">IF(K378&gt;65,"High Risk",IF(K378&gt;=40,"Medium Risk","Low Risk"))</f>
        <v>Medium Risk</v>
      </c>
      <c r="O378" s="20" t="b">
        <f aca="false">AND(OR($D378=T1_Region,T1_Region="All Regions"),OR($E378=T1_Income,T1_Income="All Income Groups"))</f>
        <v>1</v>
      </c>
    </row>
    <row r="379" customFormat="false" ht="15" hidden="false" customHeight="true" outlineLevel="0" collapsed="false">
      <c r="A379" s="1" t="s">
        <v>151</v>
      </c>
      <c r="B379" s="1" t="s">
        <v>152</v>
      </c>
      <c r="C379" s="1" t="n">
        <v>2018</v>
      </c>
      <c r="D379" s="1" t="s">
        <v>113</v>
      </c>
      <c r="E379" s="1" t="s">
        <v>82</v>
      </c>
      <c r="F379" s="1" t="n">
        <v>43.16</v>
      </c>
      <c r="G379" s="1" t="n">
        <v>44.76</v>
      </c>
      <c r="H379" s="1" t="n">
        <v>55.68</v>
      </c>
      <c r="I379" s="1" t="n">
        <v>46.69</v>
      </c>
      <c r="J379" s="1" t="n">
        <v>47.57</v>
      </c>
      <c r="K379" s="1" t="n">
        <v>52.43</v>
      </c>
      <c r="L379" s="1" t="s">
        <v>37</v>
      </c>
      <c r="M379" s="1" t="n">
        <v>9684.12</v>
      </c>
      <c r="N379" s="1" t="str">
        <f aca="false">IF(K379&gt;65,"High Risk",IF(K379&gt;=40,"Medium Risk","Low Risk"))</f>
        <v>Medium Risk</v>
      </c>
      <c r="O379" s="20" t="b">
        <f aca="false">AND(OR($D379=T1_Region,T1_Region="All Regions"),OR($E379=T1_Income,T1_Income="All Income Groups"))</f>
        <v>1</v>
      </c>
    </row>
    <row r="380" customFormat="false" ht="15" hidden="false" customHeight="true" outlineLevel="0" collapsed="false">
      <c r="A380" s="1" t="s">
        <v>151</v>
      </c>
      <c r="B380" s="1" t="s">
        <v>152</v>
      </c>
      <c r="C380" s="1" t="n">
        <v>2019</v>
      </c>
      <c r="D380" s="1" t="s">
        <v>113</v>
      </c>
      <c r="E380" s="1" t="s">
        <v>82</v>
      </c>
      <c r="F380" s="1" t="n">
        <v>44.21</v>
      </c>
      <c r="G380" s="1" t="n">
        <v>46.69</v>
      </c>
      <c r="H380" s="1" t="n">
        <v>54.61</v>
      </c>
      <c r="I380" s="1" t="n">
        <v>45.53</v>
      </c>
      <c r="J380" s="1" t="n">
        <v>47.76</v>
      </c>
      <c r="K380" s="1" t="n">
        <v>52.24</v>
      </c>
      <c r="L380" s="1" t="s">
        <v>37</v>
      </c>
      <c r="M380" s="1" t="n">
        <v>9395.23</v>
      </c>
      <c r="N380" s="1" t="str">
        <f aca="false">IF(K380&gt;65,"High Risk",IF(K380&gt;=40,"Medium Risk","Low Risk"))</f>
        <v>Medium Risk</v>
      </c>
      <c r="O380" s="20" t="b">
        <f aca="false">AND(OR($D380=T1_Region,T1_Region="All Regions"),OR($E380=T1_Income,T1_Income="All Income Groups"))</f>
        <v>1</v>
      </c>
    </row>
    <row r="381" customFormat="false" ht="15" hidden="false" customHeight="true" outlineLevel="0" collapsed="false">
      <c r="A381" s="1" t="s">
        <v>151</v>
      </c>
      <c r="B381" s="1" t="s">
        <v>152</v>
      </c>
      <c r="C381" s="1" t="n">
        <v>2020</v>
      </c>
      <c r="D381" s="1" t="s">
        <v>113</v>
      </c>
      <c r="E381" s="1" t="s">
        <v>82</v>
      </c>
      <c r="F381" s="1" t="n">
        <v>41.29</v>
      </c>
      <c r="G381" s="1" t="n">
        <v>44.75</v>
      </c>
      <c r="H381" s="1" t="n">
        <v>52.26</v>
      </c>
      <c r="I381" s="1" t="n">
        <v>48.14</v>
      </c>
      <c r="J381" s="1" t="n">
        <v>46.61</v>
      </c>
      <c r="K381" s="1" t="n">
        <v>53.39</v>
      </c>
      <c r="L381" s="1" t="s">
        <v>37</v>
      </c>
      <c r="M381" s="1" t="n">
        <v>8798.12</v>
      </c>
      <c r="N381" s="1" t="str">
        <f aca="false">IF(K381&gt;65,"High Risk",IF(K381&gt;=40,"Medium Risk","Low Risk"))</f>
        <v>Medium Risk</v>
      </c>
      <c r="O381" s="20" t="b">
        <f aca="false">AND(OR($D381=T1_Region,T1_Region="All Regions"),OR($E381=T1_Income,T1_Income="All Income Groups"))</f>
        <v>1</v>
      </c>
    </row>
    <row r="382" customFormat="false" ht="15" hidden="false" customHeight="true" outlineLevel="0" collapsed="false">
      <c r="A382" s="1" t="s">
        <v>151</v>
      </c>
      <c r="B382" s="1" t="s">
        <v>152</v>
      </c>
      <c r="C382" s="1" t="n">
        <v>2021</v>
      </c>
      <c r="D382" s="1" t="s">
        <v>113</v>
      </c>
      <c r="E382" s="1" t="s">
        <v>82</v>
      </c>
      <c r="F382" s="1" t="n">
        <v>39.77</v>
      </c>
      <c r="G382" s="1" t="n">
        <v>43.62</v>
      </c>
      <c r="H382" s="1" t="n">
        <v>52.92</v>
      </c>
      <c r="I382" s="1" t="n">
        <v>49.29</v>
      </c>
      <c r="J382" s="1" t="n">
        <v>46.4</v>
      </c>
      <c r="K382" s="1" t="n">
        <v>53.6</v>
      </c>
      <c r="L382" s="1" t="s">
        <v>37</v>
      </c>
      <c r="M382" s="1" t="n">
        <v>9981.76</v>
      </c>
      <c r="N382" s="1" t="str">
        <f aca="false">IF(K382&gt;65,"High Risk",IF(K382&gt;=40,"Medium Risk","Low Risk"))</f>
        <v>Medium Risk</v>
      </c>
      <c r="O382" s="20" t="b">
        <f aca="false">AND(OR($D382=T1_Region,T1_Region="All Regions"),OR($E382=T1_Income,T1_Income="All Income Groups"))</f>
        <v>1</v>
      </c>
    </row>
    <row r="383" customFormat="false" ht="15" hidden="false" customHeight="true" outlineLevel="0" collapsed="false">
      <c r="A383" s="1" t="s">
        <v>151</v>
      </c>
      <c r="B383" s="1" t="s">
        <v>152</v>
      </c>
      <c r="C383" s="1" t="n">
        <v>2022</v>
      </c>
      <c r="D383" s="1" t="s">
        <v>113</v>
      </c>
      <c r="E383" s="1" t="s">
        <v>82</v>
      </c>
      <c r="F383" s="1" t="n">
        <v>39.1</v>
      </c>
      <c r="G383" s="1" t="n">
        <v>43.54</v>
      </c>
      <c r="H383" s="1" t="n">
        <v>51.25</v>
      </c>
      <c r="I383" s="1" t="n">
        <v>49.92</v>
      </c>
      <c r="J383" s="1" t="n">
        <v>45.95</v>
      </c>
      <c r="K383" s="1" t="n">
        <v>54.05</v>
      </c>
      <c r="L383" s="1" t="s">
        <v>37</v>
      </c>
      <c r="M383" s="1" t="n">
        <v>10897.84</v>
      </c>
      <c r="N383" s="1" t="str">
        <f aca="false">IF(K383&gt;65,"High Risk",IF(K383&gt;=40,"Medium Risk","Low Risk"))</f>
        <v>Medium Risk</v>
      </c>
      <c r="O383" s="20" t="b">
        <f aca="false">AND(OR($D383=T1_Region,T1_Region="All Regions"),OR($E383=T1_Income,T1_Income="All Income Groups"))</f>
        <v>1</v>
      </c>
    </row>
    <row r="384" customFormat="false" ht="15" hidden="false" customHeight="true" outlineLevel="0" collapsed="false">
      <c r="A384" s="1" t="s">
        <v>151</v>
      </c>
      <c r="B384" s="1" t="s">
        <v>152</v>
      </c>
      <c r="C384" s="1" t="n">
        <v>2023</v>
      </c>
      <c r="D384" s="1" t="s">
        <v>113</v>
      </c>
      <c r="E384" s="1" t="s">
        <v>82</v>
      </c>
      <c r="F384" s="1" t="n">
        <v>39</v>
      </c>
      <c r="G384" s="1" t="n">
        <v>43.21</v>
      </c>
      <c r="H384" s="1" t="n">
        <v>51.54</v>
      </c>
      <c r="I384" s="1" t="n">
        <v>50.79</v>
      </c>
      <c r="J384" s="1" t="n">
        <v>46.13</v>
      </c>
      <c r="K384" s="1" t="n">
        <v>53.87</v>
      </c>
      <c r="L384" s="1" t="s">
        <v>37</v>
      </c>
      <c r="M384" s="1" t="n">
        <v>13375.09</v>
      </c>
      <c r="N384" s="1" t="str">
        <f aca="false">IF(K384&gt;65,"High Risk",IF(K384&gt;=40,"Medium Risk","Low Risk"))</f>
        <v>Medium Risk</v>
      </c>
      <c r="O384" s="20" t="b">
        <f aca="false">AND(OR($D384=T1_Region,T1_Region="All Regions"),OR($E384=T1_Income,T1_Income="All Income Groups"))</f>
        <v>1</v>
      </c>
    </row>
    <row r="385" customFormat="false" ht="15" hidden="false" customHeight="true" outlineLevel="0" collapsed="false">
      <c r="A385" s="1" t="s">
        <v>151</v>
      </c>
      <c r="B385" s="1" t="s">
        <v>152</v>
      </c>
      <c r="C385" s="1" t="n">
        <v>2024</v>
      </c>
      <c r="D385" s="1" t="s">
        <v>113</v>
      </c>
      <c r="E385" s="1" t="s">
        <v>82</v>
      </c>
      <c r="F385" s="1" t="n">
        <v>36.45</v>
      </c>
      <c r="G385" s="1" t="n">
        <v>42.45</v>
      </c>
      <c r="H385" s="1" t="n">
        <v>51.53</v>
      </c>
      <c r="I385" s="1" t="n">
        <v>49.31</v>
      </c>
      <c r="J385" s="1" t="n">
        <v>44.94</v>
      </c>
      <c r="K385" s="1" t="n">
        <v>55.06</v>
      </c>
      <c r="L385" s="1" t="s">
        <v>37</v>
      </c>
      <c r="M385" s="1" t="n">
        <v>15892.72</v>
      </c>
      <c r="N385" s="1" t="str">
        <f aca="false">IF(K385&gt;65,"High Risk",IF(K385&gt;=40,"Medium Risk","Low Risk"))</f>
        <v>Medium Risk</v>
      </c>
      <c r="O385" s="20" t="b">
        <f aca="false">AND(OR($D385=T1_Region,T1_Region="All Regions"),OR($E385=T1_Income,T1_Income="All Income Groups"))</f>
        <v>1</v>
      </c>
    </row>
    <row r="386" customFormat="false" ht="15" hidden="false" customHeight="true" outlineLevel="0" collapsed="false">
      <c r="A386" s="1" t="s">
        <v>153</v>
      </c>
      <c r="B386" s="1" t="s">
        <v>154</v>
      </c>
      <c r="C386" s="1" t="n">
        <v>2013</v>
      </c>
      <c r="D386" s="1" t="s">
        <v>108</v>
      </c>
      <c r="E386" s="1" t="s">
        <v>86</v>
      </c>
      <c r="F386" s="1" t="n">
        <v>71.16</v>
      </c>
      <c r="G386" s="1" t="n">
        <v>64.09</v>
      </c>
      <c r="H386" s="1" t="n">
        <v>70.48</v>
      </c>
      <c r="I386" s="1" t="n">
        <v>79.11</v>
      </c>
      <c r="J386" s="1" t="n">
        <v>71.21</v>
      </c>
      <c r="K386" s="1" t="n">
        <v>28.79</v>
      </c>
      <c r="L386" s="1" t="s">
        <v>38</v>
      </c>
      <c r="M386" s="1" t="n">
        <v>53247.23</v>
      </c>
      <c r="N386" s="1" t="str">
        <f aca="false">IF(K386&gt;65,"High Risk",IF(K386&gt;=40,"Medium Risk","Low Risk"))</f>
        <v>Low Risk</v>
      </c>
      <c r="O386" s="20" t="b">
        <f aca="false">AND(OR($D386=T1_Region,T1_Region="All Regions"),OR($E386=T1_Income,T1_Income="All Income Groups"))</f>
        <v>1</v>
      </c>
    </row>
    <row r="387" customFormat="false" ht="15" hidden="false" customHeight="true" outlineLevel="0" collapsed="false">
      <c r="A387" s="1" t="s">
        <v>153</v>
      </c>
      <c r="B387" s="1" t="s">
        <v>154</v>
      </c>
      <c r="C387" s="1" t="n">
        <v>2014</v>
      </c>
      <c r="D387" s="1" t="s">
        <v>108</v>
      </c>
      <c r="E387" s="1" t="s">
        <v>86</v>
      </c>
      <c r="F387" s="1" t="n">
        <v>67.81</v>
      </c>
      <c r="G387" s="1" t="n">
        <v>62.99</v>
      </c>
      <c r="H387" s="1" t="n">
        <v>71.8</v>
      </c>
      <c r="I387" s="1" t="n">
        <v>81.24</v>
      </c>
      <c r="J387" s="1" t="n">
        <v>70.96</v>
      </c>
      <c r="K387" s="1" t="n">
        <v>29.04</v>
      </c>
      <c r="L387" s="1" t="s">
        <v>38</v>
      </c>
      <c r="M387" s="1" t="n">
        <v>52725.23</v>
      </c>
      <c r="N387" s="1" t="str">
        <f aca="false">IF(K387&gt;65,"High Risk",IF(K387&gt;=40,"Medium Risk","Low Risk"))</f>
        <v>Low Risk</v>
      </c>
      <c r="O387" s="20" t="b">
        <f aca="false">AND(OR($D387=T1_Region,T1_Region="All Regions"),OR($E387=T1_Income,T1_Income="All Income Groups"))</f>
        <v>1</v>
      </c>
    </row>
    <row r="388" customFormat="false" ht="15" hidden="false" customHeight="true" outlineLevel="0" collapsed="false">
      <c r="A388" s="1" t="s">
        <v>153</v>
      </c>
      <c r="B388" s="1" t="s">
        <v>154</v>
      </c>
      <c r="C388" s="1" t="n">
        <v>2015</v>
      </c>
      <c r="D388" s="1" t="s">
        <v>108</v>
      </c>
      <c r="E388" s="1" t="s">
        <v>86</v>
      </c>
      <c r="F388" s="1" t="n">
        <v>66.48</v>
      </c>
      <c r="G388" s="1" t="n">
        <v>63.01</v>
      </c>
      <c r="H388" s="1" t="n">
        <v>73.45</v>
      </c>
      <c r="I388" s="1" t="n">
        <v>80.21</v>
      </c>
      <c r="J388" s="1" t="n">
        <v>70.79</v>
      </c>
      <c r="K388" s="1" t="n">
        <v>29.21</v>
      </c>
      <c r="L388" s="1" t="s">
        <v>38</v>
      </c>
      <c r="M388" s="1" t="n">
        <v>44910.35</v>
      </c>
      <c r="N388" s="1" t="str">
        <f aca="false">IF(K388&gt;65,"High Risk",IF(K388&gt;=40,"Medium Risk","Low Risk"))</f>
        <v>Low Risk</v>
      </c>
      <c r="O388" s="20" t="b">
        <f aca="false">AND(OR($D388=T1_Region,T1_Region="All Regions"),OR($E388=T1_Income,T1_Income="All Income Groups"))</f>
        <v>1</v>
      </c>
    </row>
    <row r="389" customFormat="false" ht="15" hidden="false" customHeight="true" outlineLevel="0" collapsed="false">
      <c r="A389" s="1" t="s">
        <v>153</v>
      </c>
      <c r="B389" s="1" t="s">
        <v>154</v>
      </c>
      <c r="C389" s="1" t="n">
        <v>2016</v>
      </c>
      <c r="D389" s="1" t="s">
        <v>108</v>
      </c>
      <c r="E389" s="1" t="s">
        <v>86</v>
      </c>
      <c r="F389" s="1" t="n">
        <v>70.25</v>
      </c>
      <c r="G389" s="1" t="n">
        <v>64.2</v>
      </c>
      <c r="H389" s="1" t="n">
        <v>71.87</v>
      </c>
      <c r="I389" s="1" t="n">
        <v>77.73</v>
      </c>
      <c r="J389" s="1" t="n">
        <v>71.01</v>
      </c>
      <c r="K389" s="1" t="n">
        <v>28.99</v>
      </c>
      <c r="L389" s="1" t="s">
        <v>38</v>
      </c>
      <c r="M389" s="1" t="n">
        <v>42721.11</v>
      </c>
      <c r="N389" s="1" t="str">
        <f aca="false">IF(K389&gt;65,"High Risk",IF(K389&gt;=40,"Medium Risk","Low Risk"))</f>
        <v>Low Risk</v>
      </c>
      <c r="O389" s="20" t="b">
        <f aca="false">AND(OR($D389=T1_Region,T1_Region="All Regions"),OR($E389=T1_Income,T1_Income="All Income Groups"))</f>
        <v>1</v>
      </c>
    </row>
    <row r="390" customFormat="false" ht="15" hidden="false" customHeight="true" outlineLevel="0" collapsed="false">
      <c r="A390" s="1" t="s">
        <v>153</v>
      </c>
      <c r="B390" s="1" t="s">
        <v>154</v>
      </c>
      <c r="C390" s="1" t="n">
        <v>2017</v>
      </c>
      <c r="D390" s="1" t="s">
        <v>108</v>
      </c>
      <c r="E390" s="1" t="s">
        <v>86</v>
      </c>
      <c r="F390" s="1" t="n">
        <v>69.64</v>
      </c>
      <c r="G390" s="1" t="n">
        <v>63.56</v>
      </c>
      <c r="H390" s="1" t="n">
        <v>72.39</v>
      </c>
      <c r="I390" s="1" t="n">
        <v>78.18</v>
      </c>
      <c r="J390" s="1" t="n">
        <v>70.94</v>
      </c>
      <c r="K390" s="1" t="n">
        <v>29.06</v>
      </c>
      <c r="L390" s="1" t="s">
        <v>38</v>
      </c>
      <c r="M390" s="1" t="n">
        <v>43733.62</v>
      </c>
      <c r="N390" s="1" t="str">
        <f aca="false">IF(K390&gt;65,"High Risk",IF(K390&gt;=40,"Medium Risk","Low Risk"))</f>
        <v>Low Risk</v>
      </c>
      <c r="O390" s="20" t="b">
        <f aca="false">AND(OR($D390=T1_Region,T1_Region="All Regions"),OR($E390=T1_Income,T1_Income="All Income Groups"))</f>
        <v>1</v>
      </c>
    </row>
    <row r="391" customFormat="false" ht="15" hidden="false" customHeight="true" outlineLevel="0" collapsed="false">
      <c r="A391" s="1" t="s">
        <v>153</v>
      </c>
      <c r="B391" s="1" t="s">
        <v>154</v>
      </c>
      <c r="C391" s="1" t="n">
        <v>2018</v>
      </c>
      <c r="D391" s="1" t="s">
        <v>108</v>
      </c>
      <c r="E391" s="1" t="s">
        <v>86</v>
      </c>
      <c r="F391" s="1" t="n">
        <v>70.02</v>
      </c>
      <c r="G391" s="1" t="n">
        <v>63.67</v>
      </c>
      <c r="H391" s="1" t="n">
        <v>71.88</v>
      </c>
      <c r="I391" s="1" t="n">
        <v>80.13</v>
      </c>
      <c r="J391" s="1" t="n">
        <v>71.42</v>
      </c>
      <c r="K391" s="1" t="n">
        <v>28.58</v>
      </c>
      <c r="L391" s="1" t="s">
        <v>38</v>
      </c>
      <c r="M391" s="1" t="n">
        <v>47135.35</v>
      </c>
      <c r="N391" s="1" t="str">
        <f aca="false">IF(K391&gt;65,"High Risk",IF(K391&gt;=40,"Medium Risk","Low Risk"))</f>
        <v>Low Risk</v>
      </c>
      <c r="O391" s="20" t="b">
        <f aca="false">AND(OR($D391=T1_Region,T1_Region="All Regions"),OR($E391=T1_Income,T1_Income="All Income Groups"))</f>
        <v>1</v>
      </c>
    </row>
    <row r="392" customFormat="false" ht="15" hidden="false" customHeight="true" outlineLevel="0" collapsed="false">
      <c r="A392" s="1" t="s">
        <v>153</v>
      </c>
      <c r="B392" s="1" t="s">
        <v>154</v>
      </c>
      <c r="C392" s="1" t="n">
        <v>2019</v>
      </c>
      <c r="D392" s="1" t="s">
        <v>108</v>
      </c>
      <c r="E392" s="1" t="s">
        <v>86</v>
      </c>
      <c r="F392" s="1" t="n">
        <v>69.87</v>
      </c>
      <c r="G392" s="1" t="n">
        <v>64.3</v>
      </c>
      <c r="H392" s="1" t="n">
        <v>72.93</v>
      </c>
      <c r="I392" s="1" t="n">
        <v>80.06</v>
      </c>
      <c r="J392" s="1" t="n">
        <v>71.79</v>
      </c>
      <c r="K392" s="1" t="n">
        <v>28.21</v>
      </c>
      <c r="L392" s="1" t="s">
        <v>38</v>
      </c>
      <c r="M392" s="1" t="n">
        <v>45938.61</v>
      </c>
      <c r="N392" s="1" t="str">
        <f aca="false">IF(K392&gt;65,"High Risk",IF(K392&gt;=40,"Medium Risk","Low Risk"))</f>
        <v>Low Risk</v>
      </c>
      <c r="O392" s="20" t="b">
        <f aca="false">AND(OR($D392=T1_Region,T1_Region="All Regions"),OR($E392=T1_Income,T1_Income="All Income Groups"))</f>
        <v>1</v>
      </c>
    </row>
    <row r="393" customFormat="false" ht="15" hidden="false" customHeight="true" outlineLevel="0" collapsed="false">
      <c r="A393" s="1" t="s">
        <v>153</v>
      </c>
      <c r="B393" s="1" t="s">
        <v>154</v>
      </c>
      <c r="C393" s="1" t="n">
        <v>2020</v>
      </c>
      <c r="D393" s="1" t="s">
        <v>108</v>
      </c>
      <c r="E393" s="1" t="s">
        <v>86</v>
      </c>
      <c r="F393" s="1" t="n">
        <v>69.34</v>
      </c>
      <c r="G393" s="1" t="n">
        <v>63.81</v>
      </c>
      <c r="H393" s="1" t="n">
        <v>71.68</v>
      </c>
      <c r="I393" s="1" t="n">
        <v>80.02</v>
      </c>
      <c r="J393" s="1" t="n">
        <v>71.21</v>
      </c>
      <c r="K393" s="1" t="n">
        <v>28.79</v>
      </c>
      <c r="L393" s="1" t="s">
        <v>38</v>
      </c>
      <c r="M393" s="1" t="n">
        <v>37991.74</v>
      </c>
      <c r="N393" s="1" t="str">
        <f aca="false">IF(K393&gt;65,"High Risk",IF(K393&gt;=40,"Medium Risk","Low Risk"))</f>
        <v>Low Risk</v>
      </c>
      <c r="O393" s="20" t="b">
        <f aca="false">AND(OR($D393=T1_Region,T1_Region="All Regions"),OR($E393=T1_Income,T1_Income="All Income Groups"))</f>
        <v>1</v>
      </c>
    </row>
    <row r="394" customFormat="false" ht="15" hidden="false" customHeight="true" outlineLevel="0" collapsed="false">
      <c r="A394" s="1" t="s">
        <v>153</v>
      </c>
      <c r="B394" s="1" t="s">
        <v>154</v>
      </c>
      <c r="C394" s="1" t="n">
        <v>2021</v>
      </c>
      <c r="D394" s="1" t="s">
        <v>108</v>
      </c>
      <c r="E394" s="1" t="s">
        <v>86</v>
      </c>
      <c r="F394" s="1" t="n">
        <v>68.8</v>
      </c>
      <c r="G394" s="1" t="n">
        <v>62.79</v>
      </c>
      <c r="H394" s="1" t="n">
        <v>71.6</v>
      </c>
      <c r="I394" s="1" t="n">
        <v>80.24</v>
      </c>
      <c r="J394" s="1" t="n">
        <v>70.86</v>
      </c>
      <c r="K394" s="1" t="n">
        <v>29.14</v>
      </c>
      <c r="L394" s="1" t="s">
        <v>38</v>
      </c>
      <c r="M394" s="1" t="n">
        <v>44118.49</v>
      </c>
      <c r="N394" s="1" t="str">
        <f aca="false">IF(K394&gt;65,"High Risk",IF(K394&gt;=40,"Medium Risk","Low Risk"))</f>
        <v>Low Risk</v>
      </c>
      <c r="O394" s="20" t="b">
        <f aca="false">AND(OR($D394=T1_Region,T1_Region="All Regions"),OR($E394=T1_Income,T1_Income="All Income Groups"))</f>
        <v>1</v>
      </c>
    </row>
    <row r="395" customFormat="false" ht="15" hidden="false" customHeight="true" outlineLevel="0" collapsed="false">
      <c r="A395" s="1" t="s">
        <v>153</v>
      </c>
      <c r="B395" s="1" t="s">
        <v>154</v>
      </c>
      <c r="C395" s="1" t="n">
        <v>2022</v>
      </c>
      <c r="D395" s="1" t="s">
        <v>108</v>
      </c>
      <c r="E395" s="1" t="s">
        <v>86</v>
      </c>
      <c r="F395" s="1" t="n">
        <v>68.55</v>
      </c>
      <c r="G395" s="1" t="n">
        <v>64.02</v>
      </c>
      <c r="H395" s="1" t="n">
        <v>71.54</v>
      </c>
      <c r="I395" s="1" t="n">
        <v>80.98</v>
      </c>
      <c r="J395" s="1" t="n">
        <v>71.27</v>
      </c>
      <c r="K395" s="1" t="n">
        <v>28.73</v>
      </c>
      <c r="L395" s="1" t="s">
        <v>38</v>
      </c>
      <c r="M395" s="1" t="n">
        <v>50759.76</v>
      </c>
      <c r="N395" s="1" t="str">
        <f aca="false">IF(K395&gt;65,"High Risk",IF(K395&gt;=40,"Medium Risk","Low Risk"))</f>
        <v>Low Risk</v>
      </c>
      <c r="O395" s="20" t="b">
        <f aca="false">AND(OR($D395=T1_Region,T1_Region="All Regions"),OR($E395=T1_Income,T1_Income="All Income Groups"))</f>
        <v>1</v>
      </c>
    </row>
    <row r="396" customFormat="false" ht="15" hidden="false" customHeight="true" outlineLevel="0" collapsed="false">
      <c r="A396" s="1" t="s">
        <v>153</v>
      </c>
      <c r="B396" s="1" t="s">
        <v>154</v>
      </c>
      <c r="C396" s="1" t="n">
        <v>2023</v>
      </c>
      <c r="D396" s="1" t="s">
        <v>108</v>
      </c>
      <c r="E396" s="1" t="s">
        <v>86</v>
      </c>
      <c r="F396" s="1" t="n">
        <v>67.93</v>
      </c>
      <c r="G396" s="1" t="n">
        <v>64.7</v>
      </c>
      <c r="H396" s="1" t="n">
        <v>72.3</v>
      </c>
      <c r="I396" s="1" t="n">
        <v>79.27</v>
      </c>
      <c r="J396" s="1" t="n">
        <v>71.05</v>
      </c>
      <c r="K396" s="1" t="n">
        <v>28.95</v>
      </c>
      <c r="L396" s="1" t="s">
        <v>38</v>
      </c>
      <c r="M396" s="1" t="n">
        <v>49850.69</v>
      </c>
      <c r="N396" s="1" t="str">
        <f aca="false">IF(K396&gt;65,"High Risk",IF(K396&gt;=40,"Medium Risk","Low Risk"))</f>
        <v>Low Risk</v>
      </c>
      <c r="O396" s="20" t="b">
        <f aca="false">AND(OR($D396=T1_Region,T1_Region="All Regions"),OR($E396=T1_Income,T1_Income="All Income Groups"))</f>
        <v>1</v>
      </c>
    </row>
    <row r="397" customFormat="false" ht="15" hidden="false" customHeight="true" outlineLevel="0" collapsed="false">
      <c r="A397" s="1" t="s">
        <v>153</v>
      </c>
      <c r="B397" s="1" t="s">
        <v>154</v>
      </c>
      <c r="C397" s="1" t="n">
        <v>2024</v>
      </c>
      <c r="D397" s="1" t="s">
        <v>108</v>
      </c>
      <c r="E397" s="1" t="s">
        <v>86</v>
      </c>
      <c r="F397" s="1" t="n">
        <v>71.54</v>
      </c>
      <c r="G397" s="1" t="n">
        <v>65.52</v>
      </c>
      <c r="H397" s="1" t="n">
        <v>72.62</v>
      </c>
      <c r="I397" s="1" t="n">
        <v>79.37</v>
      </c>
      <c r="J397" s="1" t="n">
        <v>72.26</v>
      </c>
      <c r="K397" s="1" t="n">
        <v>27.74</v>
      </c>
      <c r="L397" s="1" t="s">
        <v>38</v>
      </c>
      <c r="M397" s="1" t="n">
        <v>50273.51</v>
      </c>
      <c r="N397" s="1" t="str">
        <f aca="false">IF(K397&gt;65,"High Risk",IF(K397&gt;=40,"Medium Risk","Low Risk"))</f>
        <v>Low Risk</v>
      </c>
      <c r="O397" s="20" t="b">
        <f aca="false">AND(OR($D397=T1_Region,T1_Region="All Regions"),OR($E397=T1_Income,T1_Income="All Income Groups"))</f>
        <v>1</v>
      </c>
    </row>
    <row r="398" customFormat="false" ht="15" hidden="false" customHeight="true" outlineLevel="0" collapsed="false">
      <c r="A398" s="1" t="s">
        <v>155</v>
      </c>
      <c r="B398" s="1" t="s">
        <v>156</v>
      </c>
      <c r="C398" s="1" t="n">
        <v>2013</v>
      </c>
      <c r="D398" s="1" t="s">
        <v>113</v>
      </c>
      <c r="E398" s="1" t="s">
        <v>86</v>
      </c>
      <c r="F398" s="1" t="n">
        <v>78.31</v>
      </c>
      <c r="G398" s="1" t="n">
        <v>82.93</v>
      </c>
      <c r="H398" s="1" t="n">
        <v>82.11</v>
      </c>
      <c r="I398" s="1" t="n">
        <v>73.75</v>
      </c>
      <c r="J398" s="1" t="n">
        <v>79.28</v>
      </c>
      <c r="K398" s="1" t="n">
        <v>20.72</v>
      </c>
      <c r="L398" s="1" t="s">
        <v>38</v>
      </c>
      <c r="M398" s="1" t="n">
        <v>43607.66</v>
      </c>
      <c r="N398" s="1" t="str">
        <f aca="false">IF(K398&gt;65,"High Risk",IF(K398&gt;=40,"Medium Risk","Low Risk"))</f>
        <v>Low Risk</v>
      </c>
      <c r="O398" s="20" t="b">
        <f aca="false">AND(OR($D398=T1_Region,T1_Region="All Regions"),OR($E398=T1_Income,T1_Income="All Income Groups"))</f>
        <v>1</v>
      </c>
    </row>
    <row r="399" customFormat="false" ht="15" hidden="false" customHeight="true" outlineLevel="0" collapsed="false">
      <c r="A399" s="1" t="s">
        <v>155</v>
      </c>
      <c r="B399" s="1" t="s">
        <v>156</v>
      </c>
      <c r="C399" s="1" t="n">
        <v>2014</v>
      </c>
      <c r="D399" s="1" t="s">
        <v>113</v>
      </c>
      <c r="E399" s="1" t="s">
        <v>86</v>
      </c>
      <c r="F399" s="1" t="n">
        <v>78.63</v>
      </c>
      <c r="G399" s="1" t="n">
        <v>84.39</v>
      </c>
      <c r="H399" s="1" t="n">
        <v>82.2</v>
      </c>
      <c r="I399" s="1" t="n">
        <v>75.18</v>
      </c>
      <c r="J399" s="1" t="n">
        <v>80.1</v>
      </c>
      <c r="K399" s="1" t="n">
        <v>19.9</v>
      </c>
      <c r="L399" s="1" t="s">
        <v>38</v>
      </c>
      <c r="M399" s="1" t="n">
        <v>47746.98</v>
      </c>
      <c r="N399" s="1" t="str">
        <f aca="false">IF(K399&gt;65,"High Risk",IF(K399&gt;=40,"Medium Risk","Low Risk"))</f>
        <v>Low Risk</v>
      </c>
      <c r="O399" s="20" t="b">
        <f aca="false">AND(OR($D399=T1_Region,T1_Region="All Regions"),OR($E399=T1_Income,T1_Income="All Income Groups"))</f>
        <v>1</v>
      </c>
    </row>
    <row r="400" customFormat="false" ht="15" hidden="false" customHeight="true" outlineLevel="0" collapsed="false">
      <c r="A400" s="1" t="s">
        <v>155</v>
      </c>
      <c r="B400" s="1" t="s">
        <v>156</v>
      </c>
      <c r="C400" s="1" t="n">
        <v>2015</v>
      </c>
      <c r="D400" s="1" t="s">
        <v>113</v>
      </c>
      <c r="E400" s="1" t="s">
        <v>86</v>
      </c>
      <c r="F400" s="1" t="n">
        <v>81.34</v>
      </c>
      <c r="G400" s="1" t="n">
        <v>85.55</v>
      </c>
      <c r="H400" s="1" t="n">
        <v>83.47</v>
      </c>
      <c r="I400" s="1" t="n">
        <v>75.07</v>
      </c>
      <c r="J400" s="1" t="n">
        <v>81.36</v>
      </c>
      <c r="K400" s="1" t="n">
        <v>18.64</v>
      </c>
      <c r="L400" s="1" t="s">
        <v>38</v>
      </c>
      <c r="M400" s="1" t="n">
        <v>45256.04</v>
      </c>
      <c r="N400" s="1" t="str">
        <f aca="false">IF(K400&gt;65,"High Risk",IF(K400&gt;=40,"Medium Risk","Low Risk"))</f>
        <v>Low Risk</v>
      </c>
      <c r="O400" s="20" t="b">
        <f aca="false">AND(OR($D400=T1_Region,T1_Region="All Regions"),OR($E400=T1_Income,T1_Income="All Income Groups"))</f>
        <v>1</v>
      </c>
    </row>
    <row r="401" customFormat="false" ht="15" hidden="false" customHeight="true" outlineLevel="0" collapsed="false">
      <c r="A401" s="1" t="s">
        <v>155</v>
      </c>
      <c r="B401" s="1" t="s">
        <v>156</v>
      </c>
      <c r="C401" s="1" t="n">
        <v>2016</v>
      </c>
      <c r="D401" s="1" t="s">
        <v>113</v>
      </c>
      <c r="E401" s="1" t="s">
        <v>86</v>
      </c>
      <c r="F401" s="1" t="n">
        <v>83.48</v>
      </c>
      <c r="G401" s="1" t="n">
        <v>84.73</v>
      </c>
      <c r="H401" s="1" t="n">
        <v>81.37</v>
      </c>
      <c r="I401" s="1" t="n">
        <v>73.58</v>
      </c>
      <c r="J401" s="1" t="n">
        <v>80.79</v>
      </c>
      <c r="K401" s="1" t="n">
        <v>19.21</v>
      </c>
      <c r="L401" s="1" t="s">
        <v>38</v>
      </c>
      <c r="M401" s="1" t="n">
        <v>41258.54</v>
      </c>
      <c r="N401" s="1" t="str">
        <f aca="false">IF(K401&gt;65,"High Risk",IF(K401&gt;=40,"Medium Risk","Low Risk"))</f>
        <v>Low Risk</v>
      </c>
      <c r="O401" s="20" t="b">
        <f aca="false">AND(OR($D401=T1_Region,T1_Region="All Regions"),OR($E401=T1_Income,T1_Income="All Income Groups"))</f>
        <v>1</v>
      </c>
    </row>
    <row r="402" customFormat="false" ht="15" hidden="false" customHeight="true" outlineLevel="0" collapsed="false">
      <c r="A402" s="1" t="s">
        <v>155</v>
      </c>
      <c r="B402" s="1" t="s">
        <v>156</v>
      </c>
      <c r="C402" s="1" t="n">
        <v>2017</v>
      </c>
      <c r="D402" s="1" t="s">
        <v>113</v>
      </c>
      <c r="E402" s="1" t="s">
        <v>86</v>
      </c>
      <c r="F402" s="1" t="n">
        <v>84.62</v>
      </c>
      <c r="G402" s="1" t="n">
        <v>84.65</v>
      </c>
      <c r="H402" s="1" t="n">
        <v>81.19</v>
      </c>
      <c r="I402" s="1" t="n">
        <v>73.42</v>
      </c>
      <c r="J402" s="1" t="n">
        <v>80.97</v>
      </c>
      <c r="K402" s="1" t="n">
        <v>19.03</v>
      </c>
      <c r="L402" s="1" t="s">
        <v>38</v>
      </c>
      <c r="M402" s="1" t="n">
        <v>40918.05</v>
      </c>
      <c r="N402" s="1" t="str">
        <f aca="false">IF(K402&gt;65,"High Risk",IF(K402&gt;=40,"Medium Risk","Low Risk"))</f>
        <v>Low Risk</v>
      </c>
      <c r="O402" s="20" t="b">
        <f aca="false">AND(OR($D402=T1_Region,T1_Region="All Regions"),OR($E402=T1_Income,T1_Income="All Income Groups"))</f>
        <v>1</v>
      </c>
    </row>
    <row r="403" customFormat="false" ht="15" hidden="false" customHeight="true" outlineLevel="0" collapsed="false">
      <c r="A403" s="1" t="s">
        <v>155</v>
      </c>
      <c r="B403" s="1" t="s">
        <v>156</v>
      </c>
      <c r="C403" s="1" t="n">
        <v>2018</v>
      </c>
      <c r="D403" s="1" t="s">
        <v>113</v>
      </c>
      <c r="E403" s="1" t="s">
        <v>86</v>
      </c>
      <c r="F403" s="1" t="n">
        <v>84.38</v>
      </c>
      <c r="G403" s="1" t="n">
        <v>82.53</v>
      </c>
      <c r="H403" s="1" t="n">
        <v>81.28</v>
      </c>
      <c r="I403" s="1" t="n">
        <v>70.72</v>
      </c>
      <c r="J403" s="1" t="n">
        <v>79.73</v>
      </c>
      <c r="K403" s="1" t="n">
        <v>20.27</v>
      </c>
      <c r="L403" s="1" t="s">
        <v>38</v>
      </c>
      <c r="M403" s="1" t="n">
        <v>43704.32</v>
      </c>
      <c r="N403" s="1" t="str">
        <f aca="false">IF(K403&gt;65,"High Risk",IF(K403&gt;=40,"Medium Risk","Low Risk"))</f>
        <v>Low Risk</v>
      </c>
      <c r="O403" s="20" t="b">
        <f aca="false">AND(OR($D403=T1_Region,T1_Region="All Regions"),OR($E403=T1_Income,T1_Income="All Income Groups"))</f>
        <v>1</v>
      </c>
    </row>
    <row r="404" customFormat="false" ht="15" hidden="false" customHeight="true" outlineLevel="0" collapsed="false">
      <c r="A404" s="1" t="s">
        <v>155</v>
      </c>
      <c r="B404" s="1" t="s">
        <v>156</v>
      </c>
      <c r="C404" s="1" t="n">
        <v>2019</v>
      </c>
      <c r="D404" s="1" t="s">
        <v>113</v>
      </c>
      <c r="E404" s="1" t="s">
        <v>86</v>
      </c>
      <c r="F404" s="1" t="n">
        <v>83.63</v>
      </c>
      <c r="G404" s="1" t="n">
        <v>81.72</v>
      </c>
      <c r="H404" s="1" t="n">
        <v>81.89</v>
      </c>
      <c r="I404" s="1" t="n">
        <v>75.6</v>
      </c>
      <c r="J404" s="1" t="n">
        <v>80.71</v>
      </c>
      <c r="K404" s="1" t="n">
        <v>19.29</v>
      </c>
      <c r="L404" s="1" t="s">
        <v>38</v>
      </c>
      <c r="M404" s="1" t="n">
        <v>43160.68</v>
      </c>
      <c r="N404" s="1" t="str">
        <f aca="false">IF(K404&gt;65,"High Risk",IF(K404&gt;=40,"Medium Risk","Low Risk"))</f>
        <v>Low Risk</v>
      </c>
      <c r="O404" s="20" t="b">
        <f aca="false">AND(OR($D404=T1_Region,T1_Region="All Regions"),OR($E404=T1_Income,T1_Income="All Income Groups"))</f>
        <v>1</v>
      </c>
    </row>
    <row r="405" customFormat="false" ht="15" hidden="false" customHeight="true" outlineLevel="0" collapsed="false">
      <c r="A405" s="1" t="s">
        <v>155</v>
      </c>
      <c r="B405" s="1" t="s">
        <v>156</v>
      </c>
      <c r="C405" s="1" t="n">
        <v>2020</v>
      </c>
      <c r="D405" s="1" t="s">
        <v>113</v>
      </c>
      <c r="E405" s="1" t="s">
        <v>86</v>
      </c>
      <c r="F405" s="1" t="n">
        <v>82.69</v>
      </c>
      <c r="G405" s="1" t="n">
        <v>80.29</v>
      </c>
      <c r="H405" s="1" t="n">
        <v>80.12</v>
      </c>
      <c r="I405" s="1" t="n">
        <v>74.61</v>
      </c>
      <c r="J405" s="1" t="n">
        <v>79.43</v>
      </c>
      <c r="K405" s="1" t="n">
        <v>20.57</v>
      </c>
      <c r="L405" s="1" t="s">
        <v>38</v>
      </c>
      <c r="M405" s="1" t="n">
        <v>40815.13</v>
      </c>
      <c r="N405" s="1" t="str">
        <f aca="false">IF(K405&gt;65,"High Risk",IF(K405&gt;=40,"Medium Risk","Low Risk"))</f>
        <v>Low Risk</v>
      </c>
      <c r="O405" s="20" t="b">
        <f aca="false">AND(OR($D405=T1_Region,T1_Region="All Regions"),OR($E405=T1_Income,T1_Income="All Income Groups"))</f>
        <v>1</v>
      </c>
    </row>
    <row r="406" customFormat="false" ht="15" hidden="false" customHeight="true" outlineLevel="0" collapsed="false">
      <c r="A406" s="1" t="s">
        <v>155</v>
      </c>
      <c r="B406" s="1" t="s">
        <v>156</v>
      </c>
      <c r="C406" s="1" t="n">
        <v>2021</v>
      </c>
      <c r="D406" s="1" t="s">
        <v>113</v>
      </c>
      <c r="E406" s="1" t="s">
        <v>86</v>
      </c>
      <c r="F406" s="1" t="n">
        <v>81.54</v>
      </c>
      <c r="G406" s="1" t="n">
        <v>79.45</v>
      </c>
      <c r="H406" s="1" t="n">
        <v>80.11</v>
      </c>
      <c r="I406" s="1" t="n">
        <v>73.35</v>
      </c>
      <c r="J406" s="1" t="n">
        <v>78.61</v>
      </c>
      <c r="K406" s="1" t="n">
        <v>21.39</v>
      </c>
      <c r="L406" s="1" t="s">
        <v>38</v>
      </c>
      <c r="M406" s="1" t="n">
        <v>47695.65</v>
      </c>
      <c r="N406" s="1" t="str">
        <f aca="false">IF(K406&gt;65,"High Risk",IF(K406&gt;=40,"Medium Risk","Low Risk"))</f>
        <v>Low Risk</v>
      </c>
      <c r="O406" s="20" t="b">
        <f aca="false">AND(OR($D406=T1_Region,T1_Region="All Regions"),OR($E406=T1_Income,T1_Income="All Income Groups"))</f>
        <v>1</v>
      </c>
    </row>
    <row r="407" customFormat="false" ht="15" hidden="false" customHeight="true" outlineLevel="0" collapsed="false">
      <c r="A407" s="1" t="s">
        <v>155</v>
      </c>
      <c r="B407" s="1" t="s">
        <v>156</v>
      </c>
      <c r="C407" s="1" t="n">
        <v>2022</v>
      </c>
      <c r="D407" s="1" t="s">
        <v>113</v>
      </c>
      <c r="E407" s="1" t="s">
        <v>86</v>
      </c>
      <c r="F407" s="1" t="n">
        <v>80.96</v>
      </c>
      <c r="G407" s="1" t="n">
        <v>79.33</v>
      </c>
      <c r="H407" s="1" t="n">
        <v>80.87</v>
      </c>
      <c r="I407" s="1" t="n">
        <v>72.18</v>
      </c>
      <c r="J407" s="1" t="n">
        <v>78.33</v>
      </c>
      <c r="K407" s="1" t="n">
        <v>21.67</v>
      </c>
      <c r="L407" s="1" t="s">
        <v>38</v>
      </c>
      <c r="M407" s="1" t="n">
        <v>47034.78</v>
      </c>
      <c r="N407" s="1" t="str">
        <f aca="false">IF(K407&gt;65,"High Risk",IF(K407&gt;=40,"Medium Risk","Low Risk"))</f>
        <v>Low Risk</v>
      </c>
      <c r="O407" s="20" t="b">
        <f aca="false">AND(OR($D407=T1_Region,T1_Region="All Regions"),OR($E407=T1_Income,T1_Income="All Income Groups"))</f>
        <v>1</v>
      </c>
    </row>
    <row r="408" customFormat="false" ht="15" hidden="false" customHeight="true" outlineLevel="0" collapsed="false">
      <c r="A408" s="1" t="s">
        <v>155</v>
      </c>
      <c r="B408" s="1" t="s">
        <v>156</v>
      </c>
      <c r="C408" s="1" t="n">
        <v>2023</v>
      </c>
      <c r="D408" s="1" t="s">
        <v>113</v>
      </c>
      <c r="E408" s="1" t="s">
        <v>86</v>
      </c>
      <c r="F408" s="1" t="n">
        <v>77.7</v>
      </c>
      <c r="G408" s="1" t="n">
        <v>78.83</v>
      </c>
      <c r="H408" s="1" t="n">
        <v>79.92</v>
      </c>
      <c r="I408" s="1" t="n">
        <v>72.19</v>
      </c>
      <c r="J408" s="1" t="n">
        <v>77.16</v>
      </c>
      <c r="K408" s="1" t="n">
        <v>22.84</v>
      </c>
      <c r="L408" s="1" t="s">
        <v>38</v>
      </c>
      <c r="M408" s="1" t="n">
        <v>49919.69</v>
      </c>
      <c r="N408" s="1" t="str">
        <f aca="false">IF(K408&gt;65,"High Risk",IF(K408&gt;=40,"Medium Risk","Low Risk"))</f>
        <v>Low Risk</v>
      </c>
      <c r="O408" s="20" t="b">
        <f aca="false">AND(OR($D408=T1_Region,T1_Region="All Regions"),OR($E408=T1_Income,T1_Income="All Income Groups"))</f>
        <v>1</v>
      </c>
    </row>
    <row r="409" customFormat="false" ht="15" hidden="false" customHeight="true" outlineLevel="0" collapsed="false">
      <c r="A409" s="1" t="s">
        <v>155</v>
      </c>
      <c r="B409" s="1" t="s">
        <v>156</v>
      </c>
      <c r="C409" s="1" t="n">
        <v>2024</v>
      </c>
      <c r="D409" s="1" t="s">
        <v>113</v>
      </c>
      <c r="E409" s="1" t="s">
        <v>86</v>
      </c>
      <c r="F409" s="1" t="n">
        <v>78.41</v>
      </c>
      <c r="G409" s="1" t="n">
        <v>78.82</v>
      </c>
      <c r="H409" s="1" t="n">
        <v>78.7</v>
      </c>
      <c r="I409" s="1" t="n">
        <v>70.3</v>
      </c>
      <c r="J409" s="1" t="n">
        <v>76.56</v>
      </c>
      <c r="K409" s="1" t="n">
        <v>23.44</v>
      </c>
      <c r="L409" s="1" t="s">
        <v>38</v>
      </c>
      <c r="M409" s="1" t="n">
        <v>53341.31</v>
      </c>
      <c r="N409" s="1" t="str">
        <f aca="false">IF(K409&gt;65,"High Risk",IF(K409&gt;=40,"Medium Risk","Low Risk"))</f>
        <v>Low Risk</v>
      </c>
      <c r="O409" s="20" t="b">
        <f aca="false">AND(OR($D409=T1_Region,T1_Region="All Regions"),OR($E409=T1_Income,T1_Income="All Income Groups"))</f>
        <v>1</v>
      </c>
    </row>
    <row r="410" customFormat="false" ht="15" hidden="false" customHeight="true" outlineLevel="0" collapsed="false">
      <c r="A410" s="1" t="s">
        <v>157</v>
      </c>
      <c r="B410" s="1" t="s">
        <v>158</v>
      </c>
      <c r="C410" s="1" t="n">
        <v>2013</v>
      </c>
      <c r="D410" s="1" t="s">
        <v>95</v>
      </c>
      <c r="E410" s="1" t="s">
        <v>86</v>
      </c>
      <c r="F410" s="1" t="n">
        <v>71.75</v>
      </c>
      <c r="G410" s="1" t="n">
        <v>79.37</v>
      </c>
      <c r="H410" s="1" t="n">
        <v>76.8</v>
      </c>
      <c r="I410" s="1" t="n">
        <v>75.79</v>
      </c>
      <c r="J410" s="1" t="n">
        <v>75.93</v>
      </c>
      <c r="K410" s="1" t="n">
        <v>24.07</v>
      </c>
      <c r="L410" s="1" t="s">
        <v>38</v>
      </c>
      <c r="M410" s="1" t="n">
        <v>53297.39</v>
      </c>
      <c r="N410" s="1" t="str">
        <f aca="false">IF(K410&gt;65,"High Risk",IF(K410&gt;=40,"Medium Risk","Low Risk"))</f>
        <v>Low Risk</v>
      </c>
      <c r="O410" s="20" t="b">
        <f aca="false">AND(OR($D410=T1_Region,T1_Region="All Regions"),OR($E410=T1_Income,T1_Income="All Income Groups"))</f>
        <v>1</v>
      </c>
    </row>
    <row r="411" customFormat="false" ht="15" hidden="false" customHeight="true" outlineLevel="0" collapsed="false">
      <c r="A411" s="1" t="s">
        <v>157</v>
      </c>
      <c r="B411" s="1" t="s">
        <v>158</v>
      </c>
      <c r="C411" s="1" t="n">
        <v>2014</v>
      </c>
      <c r="D411" s="1" t="s">
        <v>95</v>
      </c>
      <c r="E411" s="1" t="s">
        <v>86</v>
      </c>
      <c r="F411" s="1" t="n">
        <v>72.94</v>
      </c>
      <c r="G411" s="1" t="n">
        <v>80.05</v>
      </c>
      <c r="H411" s="1" t="n">
        <v>75.14</v>
      </c>
      <c r="I411" s="1" t="n">
        <v>77.31</v>
      </c>
      <c r="J411" s="1" t="n">
        <v>76.36</v>
      </c>
      <c r="K411" s="1" t="n">
        <v>23.64</v>
      </c>
      <c r="L411" s="1" t="s">
        <v>38</v>
      </c>
      <c r="M411" s="1" t="n">
        <v>55153.39</v>
      </c>
      <c r="N411" s="1" t="str">
        <f aca="false">IF(K411&gt;65,"High Risk",IF(K411&gt;=40,"Medium Risk","Low Risk"))</f>
        <v>Low Risk</v>
      </c>
      <c r="O411" s="20" t="b">
        <f aca="false">AND(OR($D411=T1_Region,T1_Region="All Regions"),OR($E411=T1_Income,T1_Income="All Income Groups"))</f>
        <v>1</v>
      </c>
    </row>
    <row r="412" customFormat="false" ht="15" hidden="false" customHeight="true" outlineLevel="0" collapsed="false">
      <c r="A412" s="1" t="s">
        <v>157</v>
      </c>
      <c r="B412" s="1" t="s">
        <v>158</v>
      </c>
      <c r="C412" s="1" t="n">
        <v>2015</v>
      </c>
      <c r="D412" s="1" t="s">
        <v>95</v>
      </c>
      <c r="E412" s="1" t="s">
        <v>86</v>
      </c>
      <c r="F412" s="1" t="n">
        <v>72.89</v>
      </c>
      <c r="G412" s="1" t="n">
        <v>80.66</v>
      </c>
      <c r="H412" s="1" t="n">
        <v>75.24</v>
      </c>
      <c r="I412" s="1" t="n">
        <v>77.27</v>
      </c>
      <c r="J412" s="1" t="n">
        <v>76.52</v>
      </c>
      <c r="K412" s="1" t="n">
        <v>23.48</v>
      </c>
      <c r="L412" s="1" t="s">
        <v>38</v>
      </c>
      <c r="M412" s="1" t="n">
        <v>56849.47</v>
      </c>
      <c r="N412" s="1" t="str">
        <f aca="false">IF(K412&gt;65,"High Risk",IF(K412&gt;=40,"Medium Risk","Low Risk"))</f>
        <v>Low Risk</v>
      </c>
      <c r="O412" s="20" t="b">
        <f aca="false">AND(OR($D412=T1_Region,T1_Region="All Regions"),OR($E412=T1_Income,T1_Income="All Income Groups"))</f>
        <v>1</v>
      </c>
    </row>
    <row r="413" customFormat="false" ht="15" hidden="false" customHeight="true" outlineLevel="0" collapsed="false">
      <c r="A413" s="1" t="s">
        <v>157</v>
      </c>
      <c r="B413" s="1" t="s">
        <v>158</v>
      </c>
      <c r="C413" s="1" t="n">
        <v>2016</v>
      </c>
      <c r="D413" s="1" t="s">
        <v>95</v>
      </c>
      <c r="E413" s="1" t="s">
        <v>86</v>
      </c>
      <c r="F413" s="1" t="n">
        <v>73</v>
      </c>
      <c r="G413" s="1" t="n">
        <v>81.01</v>
      </c>
      <c r="H413" s="1" t="n">
        <v>77.06</v>
      </c>
      <c r="I413" s="1" t="n">
        <v>71.5</v>
      </c>
      <c r="J413" s="1" t="n">
        <v>75.64</v>
      </c>
      <c r="K413" s="1" t="n">
        <v>24.36</v>
      </c>
      <c r="L413" s="1" t="s">
        <v>38</v>
      </c>
      <c r="M413" s="1" t="n">
        <v>57976.63</v>
      </c>
      <c r="N413" s="1" t="str">
        <f aca="false">IF(K413&gt;65,"High Risk",IF(K413&gt;=40,"Medium Risk","Low Risk"))</f>
        <v>Low Risk</v>
      </c>
      <c r="O413" s="20" t="b">
        <f aca="false">AND(OR($D413=T1_Region,T1_Region="All Regions"),OR($E413=T1_Income,T1_Income="All Income Groups"))</f>
        <v>1</v>
      </c>
    </row>
    <row r="414" customFormat="false" ht="15" hidden="false" customHeight="true" outlineLevel="0" collapsed="false">
      <c r="A414" s="1" t="s">
        <v>157</v>
      </c>
      <c r="B414" s="1" t="s">
        <v>158</v>
      </c>
      <c r="C414" s="1" t="n">
        <v>2017</v>
      </c>
      <c r="D414" s="1" t="s">
        <v>95</v>
      </c>
      <c r="E414" s="1" t="s">
        <v>86</v>
      </c>
      <c r="F414" s="1" t="n">
        <v>74.29</v>
      </c>
      <c r="G414" s="1" t="n">
        <v>79.68</v>
      </c>
      <c r="H414" s="1" t="n">
        <v>78.66</v>
      </c>
      <c r="I414" s="1" t="n">
        <v>67.78</v>
      </c>
      <c r="J414" s="1" t="n">
        <v>75.1</v>
      </c>
      <c r="K414" s="1" t="n">
        <v>24.9</v>
      </c>
      <c r="L414" s="1" t="s">
        <v>38</v>
      </c>
      <c r="M414" s="1" t="n">
        <v>60047.72</v>
      </c>
      <c r="N414" s="1" t="str">
        <f aca="false">IF(K414&gt;65,"High Risk",IF(K414&gt;=40,"Medium Risk","Low Risk"))</f>
        <v>Low Risk</v>
      </c>
      <c r="O414" s="20" t="b">
        <f aca="false">AND(OR($D414=T1_Region,T1_Region="All Regions"),OR($E414=T1_Income,T1_Income="All Income Groups"))</f>
        <v>1</v>
      </c>
    </row>
    <row r="415" customFormat="false" ht="15" hidden="false" customHeight="true" outlineLevel="0" collapsed="false">
      <c r="A415" s="1" t="s">
        <v>157</v>
      </c>
      <c r="B415" s="1" t="s">
        <v>158</v>
      </c>
      <c r="C415" s="1" t="n">
        <v>2018</v>
      </c>
      <c r="D415" s="1" t="s">
        <v>95</v>
      </c>
      <c r="E415" s="1" t="s">
        <v>86</v>
      </c>
      <c r="F415" s="1" t="n">
        <v>73.17</v>
      </c>
      <c r="G415" s="1" t="n">
        <v>77.14</v>
      </c>
      <c r="H415" s="1" t="n">
        <v>78.27</v>
      </c>
      <c r="I415" s="1" t="n">
        <v>70.86</v>
      </c>
      <c r="J415" s="1" t="n">
        <v>74.86</v>
      </c>
      <c r="K415" s="1" t="n">
        <v>25.14</v>
      </c>
      <c r="L415" s="1" t="s">
        <v>38</v>
      </c>
      <c r="M415" s="1" t="n">
        <v>62875.67</v>
      </c>
      <c r="N415" s="1" t="str">
        <f aca="false">IF(K415&gt;65,"High Risk",IF(K415&gt;=40,"Medium Risk","Low Risk"))</f>
        <v>Low Risk</v>
      </c>
      <c r="O415" s="20" t="b">
        <f aca="false">AND(OR($D415=T1_Region,T1_Region="All Regions"),OR($E415=T1_Income,T1_Income="All Income Groups"))</f>
        <v>1</v>
      </c>
    </row>
    <row r="416" customFormat="false" ht="15" hidden="false" customHeight="true" outlineLevel="0" collapsed="false">
      <c r="A416" s="1" t="s">
        <v>157</v>
      </c>
      <c r="B416" s="1" t="s">
        <v>158</v>
      </c>
      <c r="C416" s="1" t="n">
        <v>2019</v>
      </c>
      <c r="D416" s="1" t="s">
        <v>95</v>
      </c>
      <c r="E416" s="1" t="s">
        <v>86</v>
      </c>
      <c r="F416" s="1" t="n">
        <v>71.58</v>
      </c>
      <c r="G416" s="1" t="n">
        <v>76.3</v>
      </c>
      <c r="H416" s="1" t="n">
        <v>76.43</v>
      </c>
      <c r="I416" s="1" t="n">
        <v>66.83</v>
      </c>
      <c r="J416" s="1" t="n">
        <v>72.78</v>
      </c>
      <c r="K416" s="1" t="n">
        <v>27.22</v>
      </c>
      <c r="L416" s="1" t="s">
        <v>38</v>
      </c>
      <c r="M416" s="1" t="n">
        <v>65227.96</v>
      </c>
      <c r="N416" s="1" t="str">
        <f aca="false">IF(K416&gt;65,"High Risk",IF(K416&gt;=40,"Medium Risk","Low Risk"))</f>
        <v>Low Risk</v>
      </c>
      <c r="O416" s="20" t="b">
        <f aca="false">AND(OR($D416=T1_Region,T1_Region="All Regions"),OR($E416=T1_Income,T1_Income="All Income Groups"))</f>
        <v>1</v>
      </c>
    </row>
    <row r="417" customFormat="false" ht="15" hidden="false" customHeight="true" outlineLevel="0" collapsed="false">
      <c r="A417" s="1" t="s">
        <v>157</v>
      </c>
      <c r="B417" s="1" t="s">
        <v>158</v>
      </c>
      <c r="C417" s="1" t="n">
        <v>2020</v>
      </c>
      <c r="D417" s="1" t="s">
        <v>95</v>
      </c>
      <c r="E417" s="1" t="s">
        <v>86</v>
      </c>
      <c r="F417" s="1" t="n">
        <v>70.61</v>
      </c>
      <c r="G417" s="1" t="n">
        <v>74.25</v>
      </c>
      <c r="H417" s="1" t="n">
        <v>75.02</v>
      </c>
      <c r="I417" s="1" t="n">
        <v>63.39</v>
      </c>
      <c r="J417" s="1" t="n">
        <v>70.82</v>
      </c>
      <c r="K417" s="1" t="n">
        <v>29.18</v>
      </c>
      <c r="L417" s="1" t="s">
        <v>38</v>
      </c>
      <c r="M417" s="1" t="n">
        <v>64465.3</v>
      </c>
      <c r="N417" s="1" t="str">
        <f aca="false">IF(K417&gt;65,"High Risk",IF(K417&gt;=40,"Medium Risk","Low Risk"))</f>
        <v>Low Risk</v>
      </c>
      <c r="O417" s="20" t="b">
        <f aca="false">AND(OR($D417=T1_Region,T1_Region="All Regions"),OR($E417=T1_Income,T1_Income="All Income Groups"))</f>
        <v>1</v>
      </c>
    </row>
    <row r="418" customFormat="false" ht="15" hidden="false" customHeight="true" outlineLevel="0" collapsed="false">
      <c r="A418" s="1" t="s">
        <v>157</v>
      </c>
      <c r="B418" s="1" t="s">
        <v>158</v>
      </c>
      <c r="C418" s="1" t="n">
        <v>2021</v>
      </c>
      <c r="D418" s="1" t="s">
        <v>95</v>
      </c>
      <c r="E418" s="1" t="s">
        <v>86</v>
      </c>
      <c r="F418" s="1" t="n">
        <v>70.62</v>
      </c>
      <c r="G418" s="1" t="n">
        <v>74.66</v>
      </c>
      <c r="H418" s="1" t="n">
        <v>77.96</v>
      </c>
      <c r="I418" s="1" t="n">
        <v>63.74</v>
      </c>
      <c r="J418" s="1" t="n">
        <v>71.74</v>
      </c>
      <c r="K418" s="1" t="n">
        <v>28.26</v>
      </c>
      <c r="L418" s="1" t="s">
        <v>38</v>
      </c>
      <c r="M418" s="1" t="n">
        <v>71441.23</v>
      </c>
      <c r="N418" s="1" t="str">
        <f aca="false">IF(K418&gt;65,"High Risk",IF(K418&gt;=40,"Medium Risk","Low Risk"))</f>
        <v>Low Risk</v>
      </c>
      <c r="O418" s="20" t="b">
        <f aca="false">AND(OR($D418=T1_Region,T1_Region="All Regions"),OR($E418=T1_Income,T1_Income="All Income Groups"))</f>
        <v>1</v>
      </c>
    </row>
    <row r="419" customFormat="false" ht="15" hidden="false" customHeight="true" outlineLevel="0" collapsed="false">
      <c r="A419" s="1" t="s">
        <v>157</v>
      </c>
      <c r="B419" s="1" t="s">
        <v>158</v>
      </c>
      <c r="C419" s="1" t="n">
        <v>2022</v>
      </c>
      <c r="D419" s="1" t="s">
        <v>95</v>
      </c>
      <c r="E419" s="1" t="s">
        <v>86</v>
      </c>
      <c r="F419" s="1" t="n">
        <v>72.19</v>
      </c>
      <c r="G419" s="1" t="n">
        <v>75.07</v>
      </c>
      <c r="H419" s="1" t="n">
        <v>77.87</v>
      </c>
      <c r="I419" s="1" t="n">
        <v>63.12</v>
      </c>
      <c r="J419" s="1" t="n">
        <v>72.06</v>
      </c>
      <c r="K419" s="1" t="n">
        <v>27.94</v>
      </c>
      <c r="L419" s="1" t="s">
        <v>38</v>
      </c>
      <c r="M419" s="1" t="n">
        <v>78008.69</v>
      </c>
      <c r="N419" s="1" t="str">
        <f aca="false">IF(K419&gt;65,"High Risk",IF(K419&gt;=40,"Medium Risk","Low Risk"))</f>
        <v>Low Risk</v>
      </c>
      <c r="O419" s="20" t="b">
        <f aca="false">AND(OR($D419=T1_Region,T1_Region="All Regions"),OR($E419=T1_Income,T1_Income="All Income Groups"))</f>
        <v>1</v>
      </c>
    </row>
    <row r="420" customFormat="false" ht="15" hidden="false" customHeight="true" outlineLevel="0" collapsed="false">
      <c r="A420" s="1" t="s">
        <v>157</v>
      </c>
      <c r="B420" s="1" t="s">
        <v>158</v>
      </c>
      <c r="C420" s="1" t="n">
        <v>2023</v>
      </c>
      <c r="D420" s="1" t="s">
        <v>95</v>
      </c>
      <c r="E420" s="1" t="s">
        <v>86</v>
      </c>
      <c r="F420" s="1" t="n">
        <v>72.05</v>
      </c>
      <c r="G420" s="1" t="n">
        <v>73.5</v>
      </c>
      <c r="H420" s="1" t="n">
        <v>77.43</v>
      </c>
      <c r="I420" s="1" t="n">
        <v>62.6</v>
      </c>
      <c r="J420" s="1" t="n">
        <v>71.39</v>
      </c>
      <c r="K420" s="1" t="n">
        <v>28.61</v>
      </c>
      <c r="L420" s="1" t="s">
        <v>38</v>
      </c>
      <c r="M420" s="1" t="n">
        <v>82586.78</v>
      </c>
      <c r="N420" s="1" t="str">
        <f aca="false">IF(K420&gt;65,"High Risk",IF(K420&gt;=40,"Medium Risk","Low Risk"))</f>
        <v>Low Risk</v>
      </c>
      <c r="O420" s="20" t="b">
        <f aca="false">AND(OR($D420=T1_Region,T1_Region="All Regions"),OR($E420=T1_Income,T1_Income="All Income Groups"))</f>
        <v>1</v>
      </c>
    </row>
    <row r="421" customFormat="false" ht="15" hidden="false" customHeight="true" outlineLevel="0" collapsed="false">
      <c r="A421" s="1" t="s">
        <v>157</v>
      </c>
      <c r="B421" s="1" t="s">
        <v>158</v>
      </c>
      <c r="C421" s="1" t="n">
        <v>2024</v>
      </c>
      <c r="D421" s="1" t="s">
        <v>95</v>
      </c>
      <c r="E421" s="1" t="s">
        <v>86</v>
      </c>
      <c r="F421" s="1" t="n">
        <v>69.86</v>
      </c>
      <c r="G421" s="1" t="n">
        <v>73.52</v>
      </c>
      <c r="H421" s="1" t="n">
        <v>76.19</v>
      </c>
      <c r="I421" s="1" t="n">
        <v>64.27</v>
      </c>
      <c r="J421" s="1" t="n">
        <v>70.96</v>
      </c>
      <c r="K421" s="1" t="n">
        <v>29.04</v>
      </c>
      <c r="L421" s="1" t="s">
        <v>38</v>
      </c>
      <c r="M421" s="1" t="n">
        <v>86169.66</v>
      </c>
      <c r="N421" s="1" t="str">
        <f aca="false">IF(K421&gt;65,"High Risk",IF(K421&gt;=40,"Medium Risk","Low Risk"))</f>
        <v>Low Risk</v>
      </c>
      <c r="O421" s="20" t="b">
        <f aca="false">AND(OR($D421=T1_Region,T1_Region="All Regions"),OR($E421=T1_Income,T1_Income="All Income Groups"))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24"/>
  </cols>
  <sheetData>
    <row r="1" customFormat="false" ht="15" hidden="false" customHeight="true" outlineLevel="0" collapsed="false">
      <c r="A1" s="18" t="s">
        <v>66</v>
      </c>
      <c r="B1" s="18" t="s">
        <v>67</v>
      </c>
      <c r="C1" s="18" t="s">
        <v>30</v>
      </c>
      <c r="D1" s="18" t="s">
        <v>68</v>
      </c>
    </row>
    <row r="2" customFormat="false" ht="15" hidden="false" customHeight="true" outlineLevel="0" collapsed="false">
      <c r="A2" s="1" t="s">
        <v>79</v>
      </c>
      <c r="B2" s="1" t="s">
        <v>80</v>
      </c>
      <c r="C2" s="1" t="s">
        <v>81</v>
      </c>
      <c r="D2" s="1" t="s">
        <v>82</v>
      </c>
    </row>
    <row r="3" customFormat="false" ht="15" hidden="false" customHeight="true" outlineLevel="0" collapsed="false">
      <c r="A3" s="1" t="s">
        <v>83</v>
      </c>
      <c r="B3" s="1" t="s">
        <v>84</v>
      </c>
      <c r="C3" s="1" t="s">
        <v>85</v>
      </c>
      <c r="D3" s="1" t="s">
        <v>86</v>
      </c>
    </row>
    <row r="4" customFormat="false" ht="15" hidden="false" customHeight="true" outlineLevel="0" collapsed="false">
      <c r="A4" s="1" t="s">
        <v>87</v>
      </c>
      <c r="B4" s="1" t="s">
        <v>88</v>
      </c>
      <c r="C4" s="1" t="s">
        <v>89</v>
      </c>
      <c r="D4" s="1" t="s">
        <v>90</v>
      </c>
    </row>
    <row r="5" customFormat="false" ht="15" hidden="false" customHeight="true" outlineLevel="0" collapsed="false">
      <c r="A5" s="1" t="s">
        <v>91</v>
      </c>
      <c r="B5" s="1" t="s">
        <v>92</v>
      </c>
      <c r="C5" s="1" t="s">
        <v>81</v>
      </c>
      <c r="D5" s="1" t="s">
        <v>82</v>
      </c>
    </row>
    <row r="6" customFormat="false" ht="15" hidden="false" customHeight="true" outlineLevel="0" collapsed="false">
      <c r="A6" s="1" t="s">
        <v>93</v>
      </c>
      <c r="B6" s="1" t="s">
        <v>94</v>
      </c>
      <c r="C6" s="1" t="s">
        <v>95</v>
      </c>
      <c r="D6" s="1" t="s">
        <v>86</v>
      </c>
    </row>
    <row r="7" customFormat="false" ht="15" hidden="false" customHeight="true" outlineLevel="0" collapsed="false">
      <c r="A7" s="1" t="s">
        <v>96</v>
      </c>
      <c r="B7" s="1" t="s">
        <v>97</v>
      </c>
      <c r="C7" s="1" t="s">
        <v>81</v>
      </c>
      <c r="D7" s="1" t="s">
        <v>86</v>
      </c>
    </row>
    <row r="8" customFormat="false" ht="15" hidden="false" customHeight="true" outlineLevel="0" collapsed="false">
      <c r="A8" s="1" t="s">
        <v>98</v>
      </c>
      <c r="B8" s="1" t="s">
        <v>99</v>
      </c>
      <c r="C8" s="1" t="s">
        <v>85</v>
      </c>
      <c r="D8" s="1" t="s">
        <v>82</v>
      </c>
    </row>
    <row r="9" customFormat="false" ht="15" hidden="false" customHeight="true" outlineLevel="0" collapsed="false">
      <c r="A9" s="1" t="s">
        <v>100</v>
      </c>
      <c r="B9" s="1" t="s">
        <v>101</v>
      </c>
      <c r="C9" s="1" t="s">
        <v>81</v>
      </c>
      <c r="D9" s="1" t="s">
        <v>82</v>
      </c>
    </row>
    <row r="10" customFormat="false" ht="15" hidden="false" customHeight="true" outlineLevel="0" collapsed="false">
      <c r="A10" s="1" t="s">
        <v>102</v>
      </c>
      <c r="B10" s="1" t="s">
        <v>103</v>
      </c>
      <c r="C10" s="1" t="s">
        <v>104</v>
      </c>
      <c r="D10" s="1" t="s">
        <v>105</v>
      </c>
    </row>
    <row r="11" customFormat="false" ht="15" hidden="false" customHeight="true" outlineLevel="0" collapsed="false">
      <c r="A11" s="1" t="s">
        <v>106</v>
      </c>
      <c r="B11" s="1" t="s">
        <v>107</v>
      </c>
      <c r="C11" s="1" t="s">
        <v>108</v>
      </c>
      <c r="D11" s="1" t="s">
        <v>90</v>
      </c>
    </row>
    <row r="12" customFormat="false" ht="15" hidden="false" customHeight="true" outlineLevel="0" collapsed="false">
      <c r="A12" s="1" t="s">
        <v>109</v>
      </c>
      <c r="B12" s="1" t="s">
        <v>110</v>
      </c>
      <c r="C12" s="1" t="s">
        <v>104</v>
      </c>
      <c r="D12" s="1" t="s">
        <v>105</v>
      </c>
    </row>
    <row r="13" customFormat="false" ht="15" hidden="false" customHeight="true" outlineLevel="0" collapsed="false">
      <c r="A13" s="1" t="s">
        <v>111</v>
      </c>
      <c r="B13" s="1" t="s">
        <v>112</v>
      </c>
      <c r="C13" s="1" t="s">
        <v>113</v>
      </c>
      <c r="D13" s="1" t="s">
        <v>86</v>
      </c>
    </row>
    <row r="14" customFormat="false" ht="15" hidden="false" customHeight="true" outlineLevel="0" collapsed="false">
      <c r="A14" s="1" t="s">
        <v>114</v>
      </c>
      <c r="B14" s="1" t="s">
        <v>115</v>
      </c>
      <c r="C14" s="1" t="s">
        <v>113</v>
      </c>
      <c r="D14" s="1" t="s">
        <v>82</v>
      </c>
    </row>
    <row r="15" customFormat="false" ht="15" hidden="false" customHeight="true" outlineLevel="0" collapsed="false">
      <c r="A15" s="1" t="s">
        <v>116</v>
      </c>
      <c r="B15" s="1" t="s">
        <v>117</v>
      </c>
      <c r="C15" s="1" t="s">
        <v>113</v>
      </c>
      <c r="D15" s="1" t="s">
        <v>86</v>
      </c>
    </row>
    <row r="16" customFormat="false" ht="15" hidden="false" customHeight="true" outlineLevel="0" collapsed="false">
      <c r="A16" s="1" t="s">
        <v>118</v>
      </c>
      <c r="B16" s="1" t="s">
        <v>119</v>
      </c>
      <c r="C16" s="1" t="s">
        <v>113</v>
      </c>
      <c r="D16" s="1" t="s">
        <v>86</v>
      </c>
    </row>
    <row r="17" customFormat="false" ht="15" hidden="false" customHeight="true" outlineLevel="0" collapsed="false">
      <c r="A17" s="1" t="s">
        <v>44</v>
      </c>
      <c r="B17" s="1" t="s">
        <v>120</v>
      </c>
      <c r="C17" s="1" t="s">
        <v>89</v>
      </c>
      <c r="D17" s="1" t="s">
        <v>90</v>
      </c>
    </row>
    <row r="18" customFormat="false" ht="15" hidden="false" customHeight="true" outlineLevel="0" collapsed="false">
      <c r="A18" s="1" t="s">
        <v>121</v>
      </c>
      <c r="B18" s="1" t="s">
        <v>122</v>
      </c>
      <c r="C18" s="1" t="s">
        <v>85</v>
      </c>
      <c r="D18" s="1" t="s">
        <v>90</v>
      </c>
    </row>
    <row r="19" customFormat="false" ht="15" hidden="false" customHeight="true" outlineLevel="0" collapsed="false">
      <c r="A19" s="1" t="s">
        <v>123</v>
      </c>
      <c r="B19" s="1" t="s">
        <v>124</v>
      </c>
      <c r="C19" s="1" t="s">
        <v>108</v>
      </c>
      <c r="D19" s="1" t="s">
        <v>90</v>
      </c>
    </row>
    <row r="20" customFormat="false" ht="15" hidden="false" customHeight="true" outlineLevel="0" collapsed="false">
      <c r="A20" s="1" t="s">
        <v>125</v>
      </c>
      <c r="B20" s="1" t="s">
        <v>126</v>
      </c>
      <c r="C20" s="1" t="s">
        <v>113</v>
      </c>
      <c r="D20" s="1" t="s">
        <v>86</v>
      </c>
    </row>
    <row r="21" customFormat="false" ht="15" hidden="false" customHeight="true" outlineLevel="0" collapsed="false">
      <c r="A21" s="1" t="s">
        <v>127</v>
      </c>
      <c r="B21" s="1" t="s">
        <v>128</v>
      </c>
      <c r="C21" s="1" t="s">
        <v>85</v>
      </c>
      <c r="D21" s="1" t="s">
        <v>86</v>
      </c>
    </row>
    <row r="22" customFormat="false" ht="15" hidden="false" customHeight="true" outlineLevel="0" collapsed="false">
      <c r="A22" s="1" t="s">
        <v>129</v>
      </c>
      <c r="B22" s="1" t="s">
        <v>130</v>
      </c>
      <c r="C22" s="1" t="s">
        <v>113</v>
      </c>
      <c r="D22" s="1" t="s">
        <v>82</v>
      </c>
    </row>
    <row r="23" customFormat="false" ht="15" hidden="false" customHeight="true" outlineLevel="0" collapsed="false">
      <c r="A23" s="1" t="s">
        <v>131</v>
      </c>
      <c r="B23" s="1" t="s">
        <v>132</v>
      </c>
      <c r="C23" s="1" t="s">
        <v>104</v>
      </c>
      <c r="D23" s="1" t="s">
        <v>90</v>
      </c>
    </row>
    <row r="24" customFormat="false" ht="15" hidden="false" customHeight="true" outlineLevel="0" collapsed="false">
      <c r="A24" s="1" t="s">
        <v>133</v>
      </c>
      <c r="B24" s="1" t="s">
        <v>134</v>
      </c>
      <c r="C24" s="1" t="s">
        <v>81</v>
      </c>
      <c r="D24" s="1" t="s">
        <v>82</v>
      </c>
    </row>
    <row r="25" customFormat="false" ht="15" hidden="false" customHeight="true" outlineLevel="0" collapsed="false">
      <c r="A25" s="1" t="s">
        <v>135</v>
      </c>
      <c r="B25" s="1" t="s">
        <v>136</v>
      </c>
      <c r="C25" s="1" t="s">
        <v>104</v>
      </c>
      <c r="D25" s="1" t="s">
        <v>90</v>
      </c>
    </row>
    <row r="26" customFormat="false" ht="15" hidden="false" customHeight="true" outlineLevel="0" collapsed="false">
      <c r="A26" s="1" t="s">
        <v>137</v>
      </c>
      <c r="B26" s="1" t="s">
        <v>138</v>
      </c>
      <c r="C26" s="1" t="s">
        <v>89</v>
      </c>
      <c r="D26" s="1" t="s">
        <v>90</v>
      </c>
    </row>
    <row r="27" customFormat="false" ht="15" hidden="false" customHeight="true" outlineLevel="0" collapsed="false">
      <c r="A27" s="1" t="s">
        <v>139</v>
      </c>
      <c r="B27" s="1" t="s">
        <v>140</v>
      </c>
      <c r="C27" s="1" t="s">
        <v>85</v>
      </c>
      <c r="D27" s="1" t="s">
        <v>90</v>
      </c>
    </row>
    <row r="28" customFormat="false" ht="15" hidden="false" customHeight="true" outlineLevel="0" collapsed="false">
      <c r="A28" s="1" t="s">
        <v>141</v>
      </c>
      <c r="B28" s="1" t="s">
        <v>142</v>
      </c>
      <c r="C28" s="1" t="s">
        <v>113</v>
      </c>
      <c r="D28" s="1" t="s">
        <v>86</v>
      </c>
    </row>
    <row r="29" customFormat="false" ht="15" hidden="false" customHeight="true" outlineLevel="0" collapsed="false">
      <c r="A29" s="1" t="s">
        <v>143</v>
      </c>
      <c r="B29" s="1" t="s">
        <v>144</v>
      </c>
      <c r="C29" s="1" t="s">
        <v>113</v>
      </c>
      <c r="D29" s="1" t="s">
        <v>82</v>
      </c>
    </row>
    <row r="30" customFormat="false" ht="15" hidden="false" customHeight="true" outlineLevel="0" collapsed="false">
      <c r="A30" s="1" t="s">
        <v>145</v>
      </c>
      <c r="B30" s="1" t="s">
        <v>146</v>
      </c>
      <c r="C30" s="1" t="s">
        <v>108</v>
      </c>
      <c r="D30" s="1" t="s">
        <v>86</v>
      </c>
    </row>
    <row r="31" customFormat="false" ht="15" hidden="false" customHeight="true" outlineLevel="0" collapsed="false">
      <c r="A31" s="1" t="s">
        <v>147</v>
      </c>
      <c r="B31" s="1" t="s">
        <v>148</v>
      </c>
      <c r="C31" s="1" t="s">
        <v>104</v>
      </c>
      <c r="D31" s="1" t="s">
        <v>82</v>
      </c>
    </row>
    <row r="32" customFormat="false" ht="15" hidden="false" customHeight="true" outlineLevel="0" collapsed="false">
      <c r="A32" s="1" t="s">
        <v>149</v>
      </c>
      <c r="B32" s="1" t="s">
        <v>150</v>
      </c>
      <c r="C32" s="1" t="s">
        <v>89</v>
      </c>
      <c r="D32" s="1" t="s">
        <v>90</v>
      </c>
    </row>
    <row r="33" customFormat="false" ht="15" hidden="false" customHeight="true" outlineLevel="0" collapsed="false">
      <c r="A33" s="1" t="s">
        <v>151</v>
      </c>
      <c r="B33" s="1" t="s">
        <v>152</v>
      </c>
      <c r="C33" s="1" t="s">
        <v>113</v>
      </c>
      <c r="D33" s="1" t="s">
        <v>82</v>
      </c>
    </row>
    <row r="34" customFormat="false" ht="15" hidden="false" customHeight="true" outlineLevel="0" collapsed="false">
      <c r="A34" s="1" t="s">
        <v>153</v>
      </c>
      <c r="B34" s="1" t="s">
        <v>154</v>
      </c>
      <c r="C34" s="1" t="s">
        <v>108</v>
      </c>
      <c r="D34" s="1" t="s">
        <v>86</v>
      </c>
    </row>
    <row r="35" customFormat="false" ht="15" hidden="false" customHeight="true" outlineLevel="0" collapsed="false">
      <c r="A35" s="1" t="s">
        <v>155</v>
      </c>
      <c r="B35" s="1" t="s">
        <v>156</v>
      </c>
      <c r="C35" s="1" t="s">
        <v>113</v>
      </c>
      <c r="D35" s="1" t="s">
        <v>86</v>
      </c>
    </row>
    <row r="36" customFormat="false" ht="15" hidden="false" customHeight="true" outlineLevel="0" collapsed="false">
      <c r="A36" s="1" t="s">
        <v>157</v>
      </c>
      <c r="B36" s="1" t="s">
        <v>158</v>
      </c>
      <c r="C36" s="1" t="s">
        <v>95</v>
      </c>
      <c r="D36" s="1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2"/>
  </cols>
  <sheetData>
    <row r="1" customFormat="false" ht="15" hidden="false" customHeight="true" outlineLevel="0" collapsed="false">
      <c r="A1" s="1" t="s">
        <v>159</v>
      </c>
      <c r="B1" s="1" t="s">
        <v>160</v>
      </c>
      <c r="C1" s="1" t="s">
        <v>161</v>
      </c>
    </row>
    <row r="2" customFormat="false" ht="15" hidden="false" customHeight="true" outlineLevel="0" collapsed="false">
      <c r="A2" s="1" t="s">
        <v>14</v>
      </c>
      <c r="B2" s="1" t="s">
        <v>16</v>
      </c>
      <c r="C2" s="1" t="n">
        <v>2013</v>
      </c>
    </row>
    <row r="3" customFormat="false" ht="15" hidden="false" customHeight="true" outlineLevel="0" collapsed="false">
      <c r="A3" s="1" t="s">
        <v>85</v>
      </c>
      <c r="B3" s="1" t="s">
        <v>86</v>
      </c>
      <c r="C3" s="1" t="n">
        <v>2014</v>
      </c>
    </row>
    <row r="4" customFormat="false" ht="15" hidden="false" customHeight="true" outlineLevel="0" collapsed="false">
      <c r="A4" s="1" t="s">
        <v>113</v>
      </c>
      <c r="B4" s="1" t="s">
        <v>82</v>
      </c>
      <c r="C4" s="1" t="n">
        <v>2015</v>
      </c>
    </row>
    <row r="5" customFormat="false" ht="15" hidden="false" customHeight="true" outlineLevel="0" collapsed="false">
      <c r="A5" s="1" t="s">
        <v>81</v>
      </c>
      <c r="B5" s="1" t="s">
        <v>90</v>
      </c>
      <c r="C5" s="1" t="n">
        <v>2016</v>
      </c>
    </row>
    <row r="6" customFormat="false" ht="15" hidden="false" customHeight="true" outlineLevel="0" collapsed="false">
      <c r="A6" s="1" t="s">
        <v>108</v>
      </c>
      <c r="B6" s="1" t="s">
        <v>105</v>
      </c>
      <c r="C6" s="1" t="n">
        <v>2017</v>
      </c>
    </row>
    <row r="7" customFormat="false" ht="15" hidden="false" customHeight="true" outlineLevel="0" collapsed="false">
      <c r="A7" s="1" t="s">
        <v>95</v>
      </c>
      <c r="C7" s="1" t="n">
        <v>2018</v>
      </c>
    </row>
    <row r="8" customFormat="false" ht="15" hidden="false" customHeight="true" outlineLevel="0" collapsed="false">
      <c r="A8" s="1" t="s">
        <v>89</v>
      </c>
      <c r="C8" s="1" t="n">
        <v>2019</v>
      </c>
    </row>
    <row r="9" customFormat="false" ht="15" hidden="false" customHeight="true" outlineLevel="0" collapsed="false">
      <c r="A9" s="1" t="s">
        <v>104</v>
      </c>
      <c r="C9" s="1" t="n">
        <v>2020</v>
      </c>
    </row>
    <row r="10" customFormat="false" ht="15" hidden="false" customHeight="true" outlineLevel="0" collapsed="false">
      <c r="C10" s="1" t="n">
        <v>2021</v>
      </c>
    </row>
    <row r="11" customFormat="false" ht="15" hidden="false" customHeight="true" outlineLevel="0" collapsed="false">
      <c r="C11" s="1" t="n">
        <v>2022</v>
      </c>
    </row>
    <row r="12" customFormat="false" ht="15" hidden="false" customHeight="true" outlineLevel="0" collapsed="false">
      <c r="C12" s="1" t="n">
        <v>2023</v>
      </c>
    </row>
    <row r="13" customFormat="false" ht="15" hidden="false" customHeight="true" outlineLevel="0" collapsed="false">
      <c r="C13" s="1" t="n">
        <v>2024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8" t="s">
        <v>29</v>
      </c>
      <c r="B1" s="18" t="s">
        <v>30</v>
      </c>
      <c r="C1" s="18" t="s">
        <v>162</v>
      </c>
      <c r="D1" s="18" t="s">
        <v>163</v>
      </c>
      <c r="E1" s="18" t="s">
        <v>164</v>
      </c>
      <c r="F1" s="18" t="s">
        <v>165</v>
      </c>
      <c r="G1" s="18" t="s">
        <v>166</v>
      </c>
      <c r="H1" s="18" t="s">
        <v>167</v>
      </c>
      <c r="I1" s="18" t="s">
        <v>168</v>
      </c>
      <c r="J1" s="18" t="s">
        <v>169</v>
      </c>
      <c r="K1" s="18" t="s">
        <v>170</v>
      </c>
      <c r="L1" s="18" t="s">
        <v>171</v>
      </c>
      <c r="M1" s="18" t="s">
        <v>172</v>
      </c>
      <c r="N1" s="18" t="s">
        <v>173</v>
      </c>
      <c r="O1" s="18" t="s">
        <v>174</v>
      </c>
      <c r="P1" s="18" t="s">
        <v>175</v>
      </c>
      <c r="Q1" s="18" t="s">
        <v>176</v>
      </c>
      <c r="R1" s="18" t="s">
        <v>177</v>
      </c>
      <c r="S1" s="18" t="s">
        <v>178</v>
      </c>
      <c r="T1" s="18" t="s">
        <v>179</v>
      </c>
      <c r="U1" s="18" t="s">
        <v>180</v>
      </c>
      <c r="V1" s="18" t="s">
        <v>181</v>
      </c>
      <c r="W1" s="18" t="s">
        <v>182</v>
      </c>
      <c r="X1" s="18" t="s">
        <v>183</v>
      </c>
      <c r="Y1" s="18" t="s">
        <v>184</v>
      </c>
      <c r="Z1" s="18" t="s">
        <v>185</v>
      </c>
      <c r="AA1" s="18" t="s">
        <v>186</v>
      </c>
    </row>
    <row r="2" customFormat="false" ht="15" hidden="false" customHeight="true" outlineLevel="0" collapsed="false">
      <c r="A2" s="1" t="str">
        <f aca="false">CountryMeta!A2</f>
        <v>Argentina</v>
      </c>
      <c r="B2" s="1" t="str">
        <f aca="false">CountryMeta!C2</f>
        <v>Latin America &amp; Caribbean</v>
      </c>
      <c r="C2" s="1" t="str">
        <f aca="false">CountryMeta!D2</f>
        <v>Upper middle income</v>
      </c>
      <c r="D2" s="20" t="b">
        <f aca="false">AND(OR($B2=T1_Region,T1_Region="All Regions"),OR($C2=T1_Income,T1_Income="All Income Groups"))</f>
        <v>1</v>
      </c>
      <c r="E2" s="1" t="n">
        <f aca="false">SUMIFS(Data!$K:$K,Data!$A:$A,$A2,Data!$C:$C,T1_Year)</f>
        <v>47.99</v>
      </c>
      <c r="F2" s="1" t="n">
        <f aca="false">SUMIFS(Data!$M:$M,Data!$A:$A,$A2,Data!$C:$C,T1_Year)</f>
        <v>13969.78</v>
      </c>
      <c r="G2" s="1" t="n">
        <f aca="false">SUMIFS(Data!$K:$K,Data!$A:$A,$A2,Data!$C:$C,2013)</f>
        <v>51.86</v>
      </c>
      <c r="H2" s="1" t="n">
        <f aca="false">SUMIFS(Data!$K:$K,Data!$A:$A,$A2,Data!$C:$C,2024)</f>
        <v>47.99</v>
      </c>
      <c r="I2" s="1" t="n">
        <f aca="false">H2-G2</f>
        <v>-3.87</v>
      </c>
      <c r="J2" s="1" t="str">
        <f aca="false">IF($E2&gt;65,"High Risk",IF($E2&gt;=40,"Medium Risk","Low Risk"))</f>
        <v>Medium Risk</v>
      </c>
      <c r="K2" s="1" t="n">
        <f aca="false">IF($D2,$E2,"")</f>
        <v>47.99</v>
      </c>
      <c r="L2" s="1" t="n">
        <f aca="false">IF($D2,$I2,"")</f>
        <v>-3.87</v>
      </c>
      <c r="M2" s="1" t="n">
        <f aca="false">IFERROR(RANK($K2,$K$2:$K$36,0),"")</f>
        <v>18</v>
      </c>
      <c r="N2" s="1" t="str">
        <f aca="false">IF(AND($D2,$B2="East Asia &amp; Pacific"),$F2,"")</f>
        <v/>
      </c>
      <c r="O2" s="1" t="str">
        <f aca="false">IF(AND($D2,$B2="East Asia &amp; Pacific"),$E2,"")</f>
        <v/>
      </c>
      <c r="P2" s="1" t="str">
        <f aca="false">IF(AND($D2,$B2="Europe &amp; Central Asia"),$F2,"")</f>
        <v/>
      </c>
      <c r="Q2" s="1" t="str">
        <f aca="false">IF(AND($D2,$B2="Europe &amp; Central Asia"),$E2,"")</f>
        <v/>
      </c>
      <c r="R2" s="1" t="n">
        <f aca="false">IF(AND($D2,$B2="Latin America &amp; Caribbean"),$F2,"")</f>
        <v>13969.78</v>
      </c>
      <c r="S2" s="1" t="n">
        <f aca="false">IF(AND($D2,$B2="Latin America &amp; Caribbean"),$E2,"")</f>
        <v>47.99</v>
      </c>
      <c r="T2" s="1" t="str">
        <f aca="false">IF(AND($D2,$B2="Middle East &amp; North Africa"),$F2,"")</f>
        <v/>
      </c>
      <c r="U2" s="1" t="str">
        <f aca="false">IF(AND($D2,$B2="Middle East &amp; North Africa"),$E2,"")</f>
        <v/>
      </c>
      <c r="V2" s="1" t="str">
        <f aca="false">IF(AND($D2,$B2="North America"),$F2,"")</f>
        <v/>
      </c>
      <c r="W2" s="1" t="str">
        <f aca="false">IF(AND($D2,$B2="North America"),$E2,"")</f>
        <v/>
      </c>
      <c r="X2" s="1" t="str">
        <f aca="false">IF(AND($D2,$B2="South Asia"),$F2,"")</f>
        <v/>
      </c>
      <c r="Y2" s="1" t="str">
        <f aca="false">IF(AND($D2,$B2="South Asia"),$E2,"")</f>
        <v/>
      </c>
      <c r="Z2" s="1" t="str">
        <f aca="false">IF(AND($D2,$B2="Sub-Saharan Africa"),$F2,"")</f>
        <v/>
      </c>
      <c r="AA2" s="1" t="str">
        <f aca="false">IF(AND($D2,$B2="Sub-Saharan Africa"),$E2,"")</f>
        <v/>
      </c>
    </row>
    <row r="3" customFormat="false" ht="15" hidden="false" customHeight="true" outlineLevel="0" collapsed="false">
      <c r="A3" s="1" t="str">
        <f aca="false">CountryMeta!A3</f>
        <v>Australia</v>
      </c>
      <c r="B3" s="1" t="str">
        <f aca="false">CountryMeta!C3</f>
        <v>East Asia &amp; Pacific</v>
      </c>
      <c r="C3" s="1" t="str">
        <f aca="false">CountryMeta!D3</f>
        <v>High income</v>
      </c>
      <c r="D3" s="20" t="b">
        <f aca="false">AND(OR($B3=T1_Region,T1_Region="All Regions"),OR($C3=T1_Income,T1_Income="All Income Groups"))</f>
        <v>1</v>
      </c>
      <c r="E3" s="1" t="n">
        <f aca="false">SUMIFS(Data!$K:$K,Data!$A:$A,$A3,Data!$C:$C,T1_Year)</f>
        <v>17.73</v>
      </c>
      <c r="F3" s="1" t="n">
        <f aca="false">SUMIFS(Data!$M:$M,Data!$A:$A,$A3,Data!$C:$C,T1_Year)</f>
        <v>64609.99</v>
      </c>
      <c r="G3" s="1" t="n">
        <f aca="false">SUMIFS(Data!$K:$K,Data!$A:$A,$A3,Data!$C:$C,2013)</f>
        <v>16.31</v>
      </c>
      <c r="H3" s="1" t="n">
        <f aca="false">SUMIFS(Data!$K:$K,Data!$A:$A,$A3,Data!$C:$C,2024)</f>
        <v>17.73</v>
      </c>
      <c r="I3" s="1" t="n">
        <f aca="false">H3-G3</f>
        <v>1.42</v>
      </c>
      <c r="J3" s="1" t="str">
        <f aca="false">IF($E3&gt;65,"High Risk",IF($E3&gt;=40,"Medium Risk","Low Risk"))</f>
        <v>Low Risk</v>
      </c>
      <c r="K3" s="1" t="n">
        <f aca="false">IF($D3,$E3,"")</f>
        <v>17.73</v>
      </c>
      <c r="L3" s="1" t="n">
        <f aca="false">IF($D3,$I3,"")</f>
        <v>1.42</v>
      </c>
      <c r="M3" s="1" t="n">
        <f aca="false">IFERROR(RANK($K3,$K$2:$K$36,0),"")</f>
        <v>35</v>
      </c>
      <c r="N3" s="1" t="n">
        <f aca="false">IF(AND($D3,$B3="East Asia &amp; Pacific"),$F3,"")</f>
        <v>64609.99</v>
      </c>
      <c r="O3" s="1" t="n">
        <f aca="false">IF(AND($D3,$B3="East Asia &amp; Pacific"),$E3,"")</f>
        <v>17.73</v>
      </c>
      <c r="P3" s="1" t="str">
        <f aca="false">IF(AND($D3,$B3="Europe &amp; Central Asia"),$F3,"")</f>
        <v/>
      </c>
      <c r="Q3" s="1" t="str">
        <f aca="false">IF(AND($D3,$B3="Europe &amp; Central Asia"),$E3,"")</f>
        <v/>
      </c>
      <c r="R3" s="1" t="str">
        <f aca="false">IF(AND($D3,$B3="Latin America &amp; Caribbean"),$F3,"")</f>
        <v/>
      </c>
      <c r="S3" s="1" t="str">
        <f aca="false">IF(AND($D3,$B3="Latin America &amp; Caribbean"),$E3,"")</f>
        <v/>
      </c>
      <c r="T3" s="1" t="str">
        <f aca="false">IF(AND($D3,$B3="Middle East &amp; North Africa"),$F3,"")</f>
        <v/>
      </c>
      <c r="U3" s="1" t="str">
        <f aca="false">IF(AND($D3,$B3="Middle East &amp; North Africa"),$E3,"")</f>
        <v/>
      </c>
      <c r="V3" s="1" t="str">
        <f aca="false">IF(AND($D3,$B3="North America"),$F3,"")</f>
        <v/>
      </c>
      <c r="W3" s="1" t="str">
        <f aca="false">IF(AND($D3,$B3="North America"),$E3,"")</f>
        <v/>
      </c>
      <c r="X3" s="1" t="str">
        <f aca="false">IF(AND($D3,$B3="South Asia"),$F3,"")</f>
        <v/>
      </c>
      <c r="Y3" s="1" t="str">
        <f aca="false">IF(AND($D3,$B3="South Asia"),$E3,"")</f>
        <v/>
      </c>
      <c r="Z3" s="1" t="str">
        <f aca="false">IF(AND($D3,$B3="Sub-Saharan Africa"),$F3,"")</f>
        <v/>
      </c>
      <c r="AA3" s="1" t="str">
        <f aca="false">IF(AND($D3,$B3="Sub-Saharan Africa"),$E3,"")</f>
        <v/>
      </c>
    </row>
    <row r="4" customFormat="false" ht="15" hidden="false" customHeight="true" outlineLevel="0" collapsed="false">
      <c r="A4" s="1" t="str">
        <f aca="false">CountryMeta!A4</f>
        <v>Bangladesh</v>
      </c>
      <c r="B4" s="1" t="str">
        <f aca="false">CountryMeta!C4</f>
        <v>South Asia</v>
      </c>
      <c r="C4" s="1" t="str">
        <f aca="false">CountryMeta!D4</f>
        <v>Lower middle income</v>
      </c>
      <c r="D4" s="20" t="b">
        <f aca="false">AND(OR($B4=T1_Region,T1_Region="All Regions"),OR($C4=T1_Income,T1_Income="All Income Groups"))</f>
        <v>1</v>
      </c>
      <c r="E4" s="1" t="n">
        <f aca="false">SUMIFS(Data!$K:$K,Data!$A:$A,$A4,Data!$C:$C,T1_Year)</f>
        <v>63.31</v>
      </c>
      <c r="F4" s="1" t="n">
        <f aca="false">SUMIFS(Data!$M:$M,Data!$A:$A,$A4,Data!$C:$C,T1_Year)</f>
        <v>2593.42</v>
      </c>
      <c r="G4" s="1" t="n">
        <f aca="false">SUMIFS(Data!$K:$K,Data!$A:$A,$A4,Data!$C:$C,2013)</f>
        <v>64.84</v>
      </c>
      <c r="H4" s="1" t="n">
        <f aca="false">SUMIFS(Data!$K:$K,Data!$A:$A,$A4,Data!$C:$C,2024)</f>
        <v>63.31</v>
      </c>
      <c r="I4" s="1" t="n">
        <f aca="false">H4-G4</f>
        <v>-1.53</v>
      </c>
      <c r="J4" s="1" t="str">
        <f aca="false">IF($E4&gt;65,"High Risk",IF($E4&gt;=40,"Medium Risk","Low Risk"))</f>
        <v>Medium Risk</v>
      </c>
      <c r="K4" s="1" t="n">
        <f aca="false">IF($D4,$E4,"")</f>
        <v>63.31</v>
      </c>
      <c r="L4" s="1" t="n">
        <f aca="false">IF($D4,$I4,"")</f>
        <v>-1.53</v>
      </c>
      <c r="M4" s="1" t="n">
        <f aca="false">IFERROR(RANK($K4,$K$2:$K$36,0),"")</f>
        <v>5</v>
      </c>
      <c r="N4" s="1" t="str">
        <f aca="false">IF(AND($D4,$B4="East Asia &amp; Pacific"),$F4,"")</f>
        <v/>
      </c>
      <c r="O4" s="1" t="str">
        <f aca="false">IF(AND($D4,$B4="East Asia &amp; Pacific"),$E4,"")</f>
        <v/>
      </c>
      <c r="P4" s="1" t="str">
        <f aca="false">IF(AND($D4,$B4="Europe &amp; Central Asia"),$F4,"")</f>
        <v/>
      </c>
      <c r="Q4" s="1" t="str">
        <f aca="false">IF(AND($D4,$B4="Europe &amp; Central Asia"),$E4,"")</f>
        <v/>
      </c>
      <c r="R4" s="1" t="str">
        <f aca="false">IF(AND($D4,$B4="Latin America &amp; Caribbean"),$F4,"")</f>
        <v/>
      </c>
      <c r="S4" s="1" t="str">
        <f aca="false">IF(AND($D4,$B4="Latin America &amp; Caribbean"),$E4,"")</f>
        <v/>
      </c>
      <c r="T4" s="1" t="str">
        <f aca="false">IF(AND($D4,$B4="Middle East &amp; North Africa"),$F4,"")</f>
        <v/>
      </c>
      <c r="U4" s="1" t="str">
        <f aca="false">IF(AND($D4,$B4="Middle East &amp; North Africa"),$E4,"")</f>
        <v/>
      </c>
      <c r="V4" s="1" t="str">
        <f aca="false">IF(AND($D4,$B4="North America"),$F4,"")</f>
        <v/>
      </c>
      <c r="W4" s="1" t="str">
        <f aca="false">IF(AND($D4,$B4="North America"),$E4,"")</f>
        <v/>
      </c>
      <c r="X4" s="1" t="n">
        <f aca="false">IF(AND($D4,$B4="South Asia"),$F4,"")</f>
        <v>2593.42</v>
      </c>
      <c r="Y4" s="1" t="n">
        <f aca="false">IF(AND($D4,$B4="South Asia"),$E4,"")</f>
        <v>63.31</v>
      </c>
      <c r="Z4" s="1" t="str">
        <f aca="false">IF(AND($D4,$B4="Sub-Saharan Africa"),$F4,"")</f>
        <v/>
      </c>
      <c r="AA4" s="1" t="str">
        <f aca="false">IF(AND($D4,$B4="Sub-Saharan Africa"),$E4,"")</f>
        <v/>
      </c>
    </row>
    <row r="5" customFormat="false" ht="15" hidden="false" customHeight="true" outlineLevel="0" collapsed="false">
      <c r="A5" s="1" t="str">
        <f aca="false">CountryMeta!A5</f>
        <v>Brazil</v>
      </c>
      <c r="B5" s="1" t="str">
        <f aca="false">CountryMeta!C5</f>
        <v>Latin America &amp; Caribbean</v>
      </c>
      <c r="C5" s="1" t="str">
        <f aca="false">CountryMeta!D5</f>
        <v>Upper middle income</v>
      </c>
      <c r="D5" s="20" t="b">
        <f aca="false">AND(OR($B5=T1_Region,T1_Region="All Regions"),OR($C5=T1_Income,T1_Income="All Income Groups"))</f>
        <v>1</v>
      </c>
      <c r="E5" s="1" t="n">
        <f aca="false">SUMIFS(Data!$K:$K,Data!$A:$A,$A5,Data!$C:$C,T1_Year)</f>
        <v>50.98</v>
      </c>
      <c r="F5" s="1" t="n">
        <f aca="false">SUMIFS(Data!$M:$M,Data!$A:$A,$A5,Data!$C:$C,T1_Year)</f>
        <v>10310.55</v>
      </c>
      <c r="G5" s="1" t="n">
        <f aca="false">SUMIFS(Data!$K:$K,Data!$A:$A,$A5,Data!$C:$C,2013)</f>
        <v>45.54</v>
      </c>
      <c r="H5" s="1" t="n">
        <f aca="false">SUMIFS(Data!$K:$K,Data!$A:$A,$A5,Data!$C:$C,2024)</f>
        <v>50.98</v>
      </c>
      <c r="I5" s="1" t="n">
        <f aca="false">H5-G5</f>
        <v>5.44</v>
      </c>
      <c r="J5" s="1" t="str">
        <f aca="false">IF($E5&gt;65,"High Risk",IF($E5&gt;=40,"Medium Risk","Low Risk"))</f>
        <v>Medium Risk</v>
      </c>
      <c r="K5" s="1" t="n">
        <f aca="false">IF($D5,$E5,"")</f>
        <v>50.98</v>
      </c>
      <c r="L5" s="1" t="n">
        <f aca="false">IF($D5,$I5,"")</f>
        <v>5.44</v>
      </c>
      <c r="M5" s="1" t="n">
        <f aca="false">IFERROR(RANK($K5,$K$2:$K$36,0),"")</f>
        <v>14</v>
      </c>
      <c r="N5" s="1" t="str">
        <f aca="false">IF(AND($D5,$B5="East Asia &amp; Pacific"),$F5,"")</f>
        <v/>
      </c>
      <c r="O5" s="1" t="str">
        <f aca="false">IF(AND($D5,$B5="East Asia &amp; Pacific"),$E5,"")</f>
        <v/>
      </c>
      <c r="P5" s="1" t="str">
        <f aca="false">IF(AND($D5,$B5="Europe &amp; Central Asia"),$F5,"")</f>
        <v/>
      </c>
      <c r="Q5" s="1" t="str">
        <f aca="false">IF(AND($D5,$B5="Europe &amp; Central Asia"),$E5,"")</f>
        <v/>
      </c>
      <c r="R5" s="1" t="n">
        <f aca="false">IF(AND($D5,$B5="Latin America &amp; Caribbean"),$F5,"")</f>
        <v>10310.55</v>
      </c>
      <c r="S5" s="1" t="n">
        <f aca="false">IF(AND($D5,$B5="Latin America &amp; Caribbean"),$E5,"")</f>
        <v>50.98</v>
      </c>
      <c r="T5" s="1" t="str">
        <f aca="false">IF(AND($D5,$B5="Middle East &amp; North Africa"),$F5,"")</f>
        <v/>
      </c>
      <c r="U5" s="1" t="str">
        <f aca="false">IF(AND($D5,$B5="Middle East &amp; North Africa"),$E5,"")</f>
        <v/>
      </c>
      <c r="V5" s="1" t="str">
        <f aca="false">IF(AND($D5,$B5="North America"),$F5,"")</f>
        <v/>
      </c>
      <c r="W5" s="1" t="str">
        <f aca="false">IF(AND($D5,$B5="North America"),$E5,"")</f>
        <v/>
      </c>
      <c r="X5" s="1" t="str">
        <f aca="false">IF(AND($D5,$B5="South Asia"),$F5,"")</f>
        <v/>
      </c>
      <c r="Y5" s="1" t="str">
        <f aca="false">IF(AND($D5,$B5="South Asia"),$E5,"")</f>
        <v/>
      </c>
      <c r="Z5" s="1" t="str">
        <f aca="false">IF(AND($D5,$B5="Sub-Saharan Africa"),$F5,"")</f>
        <v/>
      </c>
      <c r="AA5" s="1" t="str">
        <f aca="false">IF(AND($D5,$B5="Sub-Saharan Africa"),$E5,"")</f>
        <v/>
      </c>
    </row>
    <row r="6" customFormat="false" ht="15" hidden="false" customHeight="true" outlineLevel="0" collapsed="false">
      <c r="A6" s="1" t="str">
        <f aca="false">CountryMeta!A6</f>
        <v>Canada</v>
      </c>
      <c r="B6" s="1" t="str">
        <f aca="false">CountryMeta!C6</f>
        <v>North America</v>
      </c>
      <c r="C6" s="1" t="str">
        <f aca="false">CountryMeta!D6</f>
        <v>High income</v>
      </c>
      <c r="D6" s="20" t="b">
        <f aca="false">AND(OR($B6=T1_Region,T1_Region="All Regions"),OR($C6=T1_Income,T1_Income="All Income Groups"))</f>
        <v>1</v>
      </c>
      <c r="E6" s="1" t="n">
        <f aca="false">SUMIFS(Data!$K:$K,Data!$A:$A,$A6,Data!$C:$C,T1_Year)</f>
        <v>21.14</v>
      </c>
      <c r="F6" s="1" t="n">
        <f aca="false">SUMIFS(Data!$M:$M,Data!$A:$A,$A6,Data!$C:$C,T1_Year)</f>
        <v>55015.71</v>
      </c>
      <c r="G6" s="1" t="n">
        <f aca="false">SUMIFS(Data!$K:$K,Data!$A:$A,$A6,Data!$C:$C,2013)</f>
        <v>16.26</v>
      </c>
      <c r="H6" s="1" t="n">
        <f aca="false">SUMIFS(Data!$K:$K,Data!$A:$A,$A6,Data!$C:$C,2024)</f>
        <v>21.14</v>
      </c>
      <c r="I6" s="1" t="n">
        <f aca="false">H6-G6</f>
        <v>4.88</v>
      </c>
      <c r="J6" s="1" t="str">
        <f aca="false">IF($E6&gt;65,"High Risk",IF($E6&gt;=40,"Medium Risk","Low Risk"))</f>
        <v>Low Risk</v>
      </c>
      <c r="K6" s="1" t="n">
        <f aca="false">IF($D6,$E6,"")</f>
        <v>21.14</v>
      </c>
      <c r="L6" s="1" t="n">
        <f aca="false">IF($D6,$I6,"")</f>
        <v>4.88</v>
      </c>
      <c r="M6" s="1" t="n">
        <f aca="false">IFERROR(RANK($K6,$K$2:$K$36,0),"")</f>
        <v>33</v>
      </c>
      <c r="N6" s="1" t="str">
        <f aca="false">IF(AND($D6,$B6="East Asia &amp; Pacific"),$F6,"")</f>
        <v/>
      </c>
      <c r="O6" s="1" t="str">
        <f aca="false">IF(AND($D6,$B6="East Asia &amp; Pacific"),$E6,"")</f>
        <v/>
      </c>
      <c r="P6" s="1" t="str">
        <f aca="false">IF(AND($D6,$B6="Europe &amp; Central Asia"),$F6,"")</f>
        <v/>
      </c>
      <c r="Q6" s="1" t="str">
        <f aca="false">IF(AND($D6,$B6="Europe &amp; Central Asia"),$E6,"")</f>
        <v/>
      </c>
      <c r="R6" s="1" t="str">
        <f aca="false">IF(AND($D6,$B6="Latin America &amp; Caribbean"),$F6,"")</f>
        <v/>
      </c>
      <c r="S6" s="1" t="str">
        <f aca="false">IF(AND($D6,$B6="Latin America &amp; Caribbean"),$E6,"")</f>
        <v/>
      </c>
      <c r="T6" s="1" t="str">
        <f aca="false">IF(AND($D6,$B6="Middle East &amp; North Africa"),$F6,"")</f>
        <v/>
      </c>
      <c r="U6" s="1" t="str">
        <f aca="false">IF(AND($D6,$B6="Middle East &amp; North Africa"),$E6,"")</f>
        <v/>
      </c>
      <c r="V6" s="1" t="n">
        <f aca="false">IF(AND($D6,$B6="North America"),$F6,"")</f>
        <v>55015.71</v>
      </c>
      <c r="W6" s="1" t="n">
        <f aca="false">IF(AND($D6,$B6="North America"),$E6,"")</f>
        <v>21.14</v>
      </c>
      <c r="X6" s="1" t="str">
        <f aca="false">IF(AND($D6,$B6="South Asia"),$F6,"")</f>
        <v/>
      </c>
      <c r="Y6" s="1" t="str">
        <f aca="false">IF(AND($D6,$B6="South Asia"),$E6,"")</f>
        <v/>
      </c>
      <c r="Z6" s="1" t="str">
        <f aca="false">IF(AND($D6,$B6="Sub-Saharan Africa"),$F6,"")</f>
        <v/>
      </c>
      <c r="AA6" s="1" t="str">
        <f aca="false">IF(AND($D6,$B6="Sub-Saharan Africa"),$E6,"")</f>
        <v/>
      </c>
    </row>
    <row r="7" customFormat="false" ht="15" hidden="false" customHeight="true" outlineLevel="0" collapsed="false">
      <c r="A7" s="1" t="str">
        <f aca="false">CountryMeta!A7</f>
        <v>Chile</v>
      </c>
      <c r="B7" s="1" t="str">
        <f aca="false">CountryMeta!C7</f>
        <v>Latin America &amp; Caribbean</v>
      </c>
      <c r="C7" s="1" t="str">
        <f aca="false">CountryMeta!D7</f>
        <v>High income</v>
      </c>
      <c r="D7" s="20" t="b">
        <f aca="false">AND(OR($B7=T1_Region,T1_Region="All Regions"),OR($C7=T1_Income,T1_Income="All Income Groups"))</f>
        <v>1</v>
      </c>
      <c r="E7" s="1" t="n">
        <f aca="false">SUMIFS(Data!$K:$K,Data!$A:$A,$A7,Data!$C:$C,T1_Year)</f>
        <v>31.44</v>
      </c>
      <c r="F7" s="1" t="n">
        <f aca="false">SUMIFS(Data!$M:$M,Data!$A:$A,$A7,Data!$C:$C,T1_Year)</f>
        <v>16658.97</v>
      </c>
      <c r="G7" s="1" t="n">
        <f aca="false">SUMIFS(Data!$K:$K,Data!$A:$A,$A7,Data!$C:$C,2013)</f>
        <v>23.37</v>
      </c>
      <c r="H7" s="1" t="n">
        <f aca="false">SUMIFS(Data!$K:$K,Data!$A:$A,$A7,Data!$C:$C,2024)</f>
        <v>31.44</v>
      </c>
      <c r="I7" s="1" t="n">
        <f aca="false">H7-G7</f>
        <v>8.07</v>
      </c>
      <c r="J7" s="1" t="str">
        <f aca="false">IF($E7&gt;65,"High Risk",IF($E7&gt;=40,"Medium Risk","Low Risk"))</f>
        <v>Low Risk</v>
      </c>
      <c r="K7" s="1" t="n">
        <f aca="false">IF($D7,$E7,"")</f>
        <v>31.44</v>
      </c>
      <c r="L7" s="1" t="n">
        <f aca="false">IF($D7,$I7,"")</f>
        <v>8.07</v>
      </c>
      <c r="M7" s="1" t="n">
        <f aca="false">IFERROR(RANK($K7,$K$2:$K$36,0),"")</f>
        <v>27</v>
      </c>
      <c r="N7" s="1" t="str">
        <f aca="false">IF(AND($D7,$B7="East Asia &amp; Pacific"),$F7,"")</f>
        <v/>
      </c>
      <c r="O7" s="1" t="str">
        <f aca="false">IF(AND($D7,$B7="East Asia &amp; Pacific"),$E7,"")</f>
        <v/>
      </c>
      <c r="P7" s="1" t="str">
        <f aca="false">IF(AND($D7,$B7="Europe &amp; Central Asia"),$F7,"")</f>
        <v/>
      </c>
      <c r="Q7" s="1" t="str">
        <f aca="false">IF(AND($D7,$B7="Europe &amp; Central Asia"),$E7,"")</f>
        <v/>
      </c>
      <c r="R7" s="1" t="n">
        <f aca="false">IF(AND($D7,$B7="Latin America &amp; Caribbean"),$F7,"")</f>
        <v>16658.97</v>
      </c>
      <c r="S7" s="1" t="n">
        <f aca="false">IF(AND($D7,$B7="Latin America &amp; Caribbean"),$E7,"")</f>
        <v>31.44</v>
      </c>
      <c r="T7" s="1" t="str">
        <f aca="false">IF(AND($D7,$B7="Middle East &amp; North Africa"),$F7,"")</f>
        <v/>
      </c>
      <c r="U7" s="1" t="str">
        <f aca="false">IF(AND($D7,$B7="Middle East &amp; North Africa"),$E7,"")</f>
        <v/>
      </c>
      <c r="V7" s="1" t="str">
        <f aca="false">IF(AND($D7,$B7="North America"),$F7,"")</f>
        <v/>
      </c>
      <c r="W7" s="1" t="str">
        <f aca="false">IF(AND($D7,$B7="North America"),$E7,"")</f>
        <v/>
      </c>
      <c r="X7" s="1" t="str">
        <f aca="false">IF(AND($D7,$B7="South Asia"),$F7,"")</f>
        <v/>
      </c>
      <c r="Y7" s="1" t="str">
        <f aca="false">IF(AND($D7,$B7="South Asia"),$E7,"")</f>
        <v/>
      </c>
      <c r="Z7" s="1" t="str">
        <f aca="false">IF(AND($D7,$B7="Sub-Saharan Africa"),$F7,"")</f>
        <v/>
      </c>
      <c r="AA7" s="1" t="str">
        <f aca="false">IF(AND($D7,$B7="Sub-Saharan Africa"),$E7,"")</f>
        <v/>
      </c>
    </row>
    <row r="8" customFormat="false" ht="15" hidden="false" customHeight="true" outlineLevel="0" collapsed="false">
      <c r="A8" s="1" t="str">
        <f aca="false">CountryMeta!A8</f>
        <v>China</v>
      </c>
      <c r="B8" s="1" t="str">
        <f aca="false">CountryMeta!C8</f>
        <v>East Asia &amp; Pacific</v>
      </c>
      <c r="C8" s="1" t="str">
        <f aca="false">CountryMeta!D8</f>
        <v>Upper middle income</v>
      </c>
      <c r="D8" s="20" t="b">
        <f aca="false">AND(OR($B8=T1_Region,T1_Region="All Regions"),OR($C8=T1_Income,T1_Income="All Income Groups"))</f>
        <v>1</v>
      </c>
      <c r="E8" s="1" t="n">
        <f aca="false">SUMIFS(Data!$K:$K,Data!$A:$A,$A8,Data!$C:$C,T1_Year)</f>
        <v>46.59</v>
      </c>
      <c r="F8" s="1" t="n">
        <f aca="false">SUMIFS(Data!$M:$M,Data!$A:$A,$A8,Data!$C:$C,T1_Year)</f>
        <v>13293.12</v>
      </c>
      <c r="G8" s="1" t="n">
        <f aca="false">SUMIFS(Data!$K:$K,Data!$A:$A,$A8,Data!$C:$C,2013)</f>
        <v>52.78</v>
      </c>
      <c r="H8" s="1" t="n">
        <f aca="false">SUMIFS(Data!$K:$K,Data!$A:$A,$A8,Data!$C:$C,2024)</f>
        <v>46.59</v>
      </c>
      <c r="I8" s="1" t="n">
        <f aca="false">H8-G8</f>
        <v>-6.19</v>
      </c>
      <c r="J8" s="1" t="str">
        <f aca="false">IF($E8&gt;65,"High Risk",IF($E8&gt;=40,"Medium Risk","Low Risk"))</f>
        <v>Medium Risk</v>
      </c>
      <c r="K8" s="1" t="n">
        <f aca="false">IF($D8,$E8,"")</f>
        <v>46.59</v>
      </c>
      <c r="L8" s="1" t="n">
        <f aca="false">IF($D8,$I8,"")</f>
        <v>-6.19</v>
      </c>
      <c r="M8" s="1" t="n">
        <f aca="false">IFERROR(RANK($K8,$K$2:$K$36,0),"")</f>
        <v>21</v>
      </c>
      <c r="N8" s="1" t="n">
        <f aca="false">IF(AND($D8,$B8="East Asia &amp; Pacific"),$F8,"")</f>
        <v>13293.12</v>
      </c>
      <c r="O8" s="1" t="n">
        <f aca="false">IF(AND($D8,$B8="East Asia &amp; Pacific"),$E8,"")</f>
        <v>46.59</v>
      </c>
      <c r="P8" s="1" t="str">
        <f aca="false">IF(AND($D8,$B8="Europe &amp; Central Asia"),$F8,"")</f>
        <v/>
      </c>
      <c r="Q8" s="1" t="str">
        <f aca="false">IF(AND($D8,$B8="Europe &amp; Central Asia"),$E8,"")</f>
        <v/>
      </c>
      <c r="R8" s="1" t="str">
        <f aca="false">IF(AND($D8,$B8="Latin America &amp; Caribbean"),$F8,"")</f>
        <v/>
      </c>
      <c r="S8" s="1" t="str">
        <f aca="false">IF(AND($D8,$B8="Latin America &amp; Caribbean"),$E8,"")</f>
        <v/>
      </c>
      <c r="T8" s="1" t="str">
        <f aca="false">IF(AND($D8,$B8="Middle East &amp; North Africa"),$F8,"")</f>
        <v/>
      </c>
      <c r="U8" s="1" t="str">
        <f aca="false">IF(AND($D8,$B8="Middle East &amp; North Africa"),$E8,"")</f>
        <v/>
      </c>
      <c r="V8" s="1" t="str">
        <f aca="false">IF(AND($D8,$B8="North America"),$F8,"")</f>
        <v/>
      </c>
      <c r="W8" s="1" t="str">
        <f aca="false">IF(AND($D8,$B8="North America"),$E8,"")</f>
        <v/>
      </c>
      <c r="X8" s="1" t="str">
        <f aca="false">IF(AND($D8,$B8="South Asia"),$F8,"")</f>
        <v/>
      </c>
      <c r="Y8" s="1" t="str">
        <f aca="false">IF(AND($D8,$B8="South Asia"),$E8,"")</f>
        <v/>
      </c>
      <c r="Z8" s="1" t="str">
        <f aca="false">IF(AND($D8,$B8="Sub-Saharan Africa"),$F8,"")</f>
        <v/>
      </c>
      <c r="AA8" s="1" t="str">
        <f aca="false">IF(AND($D8,$B8="Sub-Saharan Africa"),$E8,"")</f>
        <v/>
      </c>
    </row>
    <row r="9" customFormat="false" ht="15" hidden="false" customHeight="true" outlineLevel="0" collapsed="false">
      <c r="A9" s="1" t="str">
        <f aca="false">CountryMeta!A9</f>
        <v>Colombia</v>
      </c>
      <c r="B9" s="1" t="str">
        <f aca="false">CountryMeta!C9</f>
        <v>Latin America &amp; Caribbean</v>
      </c>
      <c r="C9" s="1" t="str">
        <f aca="false">CountryMeta!D9</f>
        <v>Upper middle income</v>
      </c>
      <c r="D9" s="20" t="b">
        <f aca="false">AND(OR($B9=T1_Region,T1_Region="All Regions"),OR($C9=T1_Income,T1_Income="All Income Groups"))</f>
        <v>1</v>
      </c>
      <c r="E9" s="1" t="n">
        <f aca="false">SUMIFS(Data!$K:$K,Data!$A:$A,$A9,Data!$C:$C,T1_Year)</f>
        <v>51.59</v>
      </c>
      <c r="F9" s="1" t="n">
        <f aca="false">SUMIFS(Data!$M:$M,Data!$A:$A,$A9,Data!$C:$C,T1_Year)</f>
        <v>7951.09</v>
      </c>
      <c r="G9" s="1" t="n">
        <f aca="false">SUMIFS(Data!$K:$K,Data!$A:$A,$A9,Data!$C:$C,2013)</f>
        <v>52.54</v>
      </c>
      <c r="H9" s="1" t="n">
        <f aca="false">SUMIFS(Data!$K:$K,Data!$A:$A,$A9,Data!$C:$C,2024)</f>
        <v>51.59</v>
      </c>
      <c r="I9" s="1" t="n">
        <f aca="false">H9-G9</f>
        <v>-0.949999999999996</v>
      </c>
      <c r="J9" s="1" t="str">
        <f aca="false">IF($E9&gt;65,"High Risk",IF($E9&gt;=40,"Medium Risk","Low Risk"))</f>
        <v>Medium Risk</v>
      </c>
      <c r="K9" s="1" t="n">
        <f aca="false">IF($D9,$E9,"")</f>
        <v>51.59</v>
      </c>
      <c r="L9" s="1" t="n">
        <f aca="false">IF($D9,$I9,"")</f>
        <v>-0.949999999999996</v>
      </c>
      <c r="M9" s="1" t="n">
        <f aca="false">IFERROR(RANK($K9,$K$2:$K$36,0),"")</f>
        <v>13</v>
      </c>
      <c r="N9" s="1" t="str">
        <f aca="false">IF(AND($D9,$B9="East Asia &amp; Pacific"),$F9,"")</f>
        <v/>
      </c>
      <c r="O9" s="1" t="str">
        <f aca="false">IF(AND($D9,$B9="East Asia &amp; Pacific"),$E9,"")</f>
        <v/>
      </c>
      <c r="P9" s="1" t="str">
        <f aca="false">IF(AND($D9,$B9="Europe &amp; Central Asia"),$F9,"")</f>
        <v/>
      </c>
      <c r="Q9" s="1" t="str">
        <f aca="false">IF(AND($D9,$B9="Europe &amp; Central Asia"),$E9,"")</f>
        <v/>
      </c>
      <c r="R9" s="1" t="n">
        <f aca="false">IF(AND($D9,$B9="Latin America &amp; Caribbean"),$F9,"")</f>
        <v>7951.09</v>
      </c>
      <c r="S9" s="1" t="n">
        <f aca="false">IF(AND($D9,$B9="Latin America &amp; Caribbean"),$E9,"")</f>
        <v>51.59</v>
      </c>
      <c r="T9" s="1" t="str">
        <f aca="false">IF(AND($D9,$B9="Middle East &amp; North Africa"),$F9,"")</f>
        <v/>
      </c>
      <c r="U9" s="1" t="str">
        <f aca="false">IF(AND($D9,$B9="Middle East &amp; North Africa"),$E9,"")</f>
        <v/>
      </c>
      <c r="V9" s="1" t="str">
        <f aca="false">IF(AND($D9,$B9="North America"),$F9,"")</f>
        <v/>
      </c>
      <c r="W9" s="1" t="str">
        <f aca="false">IF(AND($D9,$B9="North America"),$E9,"")</f>
        <v/>
      </c>
      <c r="X9" s="1" t="str">
        <f aca="false">IF(AND($D9,$B9="South Asia"),$F9,"")</f>
        <v/>
      </c>
      <c r="Y9" s="1" t="str">
        <f aca="false">IF(AND($D9,$B9="South Asia"),$E9,"")</f>
        <v/>
      </c>
      <c r="Z9" s="1" t="str">
        <f aca="false">IF(AND($D9,$B9="Sub-Saharan Africa"),$F9,"")</f>
        <v/>
      </c>
      <c r="AA9" s="1" t="str">
        <f aca="false">IF(AND($D9,$B9="Sub-Saharan Africa"),$E9,"")</f>
        <v/>
      </c>
    </row>
    <row r="10" customFormat="false" ht="15" hidden="false" customHeight="true" outlineLevel="0" collapsed="false">
      <c r="A10" s="1" t="str">
        <f aca="false">CountryMeta!A10</f>
        <v>Congo, Dem. Rep.</v>
      </c>
      <c r="B10" s="1" t="str">
        <f aca="false">CountryMeta!C10</f>
        <v>Sub-Saharan Africa</v>
      </c>
      <c r="C10" s="1" t="str">
        <f aca="false">CountryMeta!D10</f>
        <v>Low income</v>
      </c>
      <c r="D10" s="20" t="b">
        <f aca="false">AND(OR($B10=T1_Region,T1_Region="All Regions"),OR($C10=T1_Income,T1_Income="All Income Groups"))</f>
        <v>1</v>
      </c>
      <c r="E10" s="1" t="n">
        <f aca="false">SUMIFS(Data!$K:$K,Data!$A:$A,$A10,Data!$C:$C,T1_Year)</f>
        <v>72.39</v>
      </c>
      <c r="F10" s="1" t="n">
        <f aca="false">SUMIFS(Data!$M:$M,Data!$A:$A,$A10,Data!$C:$C,T1_Year)</f>
        <v>692.89</v>
      </c>
      <c r="G10" s="1" t="n">
        <f aca="false">SUMIFS(Data!$K:$K,Data!$A:$A,$A10,Data!$C:$C,2013)</f>
        <v>71.92</v>
      </c>
      <c r="H10" s="1" t="n">
        <f aca="false">SUMIFS(Data!$K:$K,Data!$A:$A,$A10,Data!$C:$C,2024)</f>
        <v>72.39</v>
      </c>
      <c r="I10" s="1" t="n">
        <f aca="false">H10-G10</f>
        <v>0.469999999999999</v>
      </c>
      <c r="J10" s="1" t="str">
        <f aca="false">IF($E10&gt;65,"High Risk",IF($E10&gt;=40,"Medium Risk","Low Risk"))</f>
        <v>High Risk</v>
      </c>
      <c r="K10" s="1" t="n">
        <f aca="false">IF($D10,$E10,"")</f>
        <v>72.39</v>
      </c>
      <c r="L10" s="1" t="n">
        <f aca="false">IF($D10,$I10,"")</f>
        <v>0.469999999999999</v>
      </c>
      <c r="M10" s="1" t="n">
        <f aca="false">IFERROR(RANK($K10,$K$2:$K$36,0),"")</f>
        <v>1</v>
      </c>
      <c r="N10" s="1" t="str">
        <f aca="false">IF(AND($D10,$B10="East Asia &amp; Pacific"),$F10,"")</f>
        <v/>
      </c>
      <c r="O10" s="1" t="str">
        <f aca="false">IF(AND($D10,$B10="East Asia &amp; Pacific"),$E10,"")</f>
        <v/>
      </c>
      <c r="P10" s="1" t="str">
        <f aca="false">IF(AND($D10,$B10="Europe &amp; Central Asia"),$F10,"")</f>
        <v/>
      </c>
      <c r="Q10" s="1" t="str">
        <f aca="false">IF(AND($D10,$B10="Europe &amp; Central Asia"),$E10,"")</f>
        <v/>
      </c>
      <c r="R10" s="1" t="str">
        <f aca="false">IF(AND($D10,$B10="Latin America &amp; Caribbean"),$F10,"")</f>
        <v/>
      </c>
      <c r="S10" s="1" t="str">
        <f aca="false">IF(AND($D10,$B10="Latin America &amp; Caribbean"),$E10,"")</f>
        <v/>
      </c>
      <c r="T10" s="1" t="str">
        <f aca="false">IF(AND($D10,$B10="Middle East &amp; North Africa"),$F10,"")</f>
        <v/>
      </c>
      <c r="U10" s="1" t="str">
        <f aca="false">IF(AND($D10,$B10="Middle East &amp; North Africa"),$E10,"")</f>
        <v/>
      </c>
      <c r="V10" s="1" t="str">
        <f aca="false">IF(AND($D10,$B10="North America"),$F10,"")</f>
        <v/>
      </c>
      <c r="W10" s="1" t="str">
        <f aca="false">IF(AND($D10,$B10="North America"),$E10,"")</f>
        <v/>
      </c>
      <c r="X10" s="1" t="str">
        <f aca="false">IF(AND($D10,$B10="South Asia"),$F10,"")</f>
        <v/>
      </c>
      <c r="Y10" s="1" t="str">
        <f aca="false">IF(AND($D10,$B10="South Asia"),$E10,"")</f>
        <v/>
      </c>
      <c r="Z10" s="1" t="n">
        <f aca="false">IF(AND($D10,$B10="Sub-Saharan Africa"),$F10,"")</f>
        <v>692.89</v>
      </c>
      <c r="AA10" s="1" t="n">
        <f aca="false">IF(AND($D10,$B10="Sub-Saharan Africa"),$E10,"")</f>
        <v>72.39</v>
      </c>
    </row>
    <row r="11" customFormat="false" ht="15" hidden="false" customHeight="true" outlineLevel="0" collapsed="false">
      <c r="A11" s="1" t="str">
        <f aca="false">CountryMeta!A11</f>
        <v>Egypt, Arab Rep.</v>
      </c>
      <c r="B11" s="1" t="str">
        <f aca="false">CountryMeta!C11</f>
        <v>Middle East &amp; North Africa</v>
      </c>
      <c r="C11" s="1" t="str">
        <f aca="false">CountryMeta!D11</f>
        <v>Lower middle income</v>
      </c>
      <c r="D11" s="20" t="b">
        <f aca="false">AND(OR($B11=T1_Region,T1_Region="All Regions"),OR($C11=T1_Income,T1_Income="All Income Groups"))</f>
        <v>1</v>
      </c>
      <c r="E11" s="1" t="n">
        <f aca="false">SUMIFS(Data!$K:$K,Data!$A:$A,$A11,Data!$C:$C,T1_Year)</f>
        <v>57.17</v>
      </c>
      <c r="F11" s="1" t="n">
        <f aca="false">SUMIFS(Data!$M:$M,Data!$A:$A,$A11,Data!$C:$C,T1_Year)</f>
        <v>3338.47</v>
      </c>
      <c r="G11" s="1" t="n">
        <f aca="false">SUMIFS(Data!$K:$K,Data!$A:$A,$A11,Data!$C:$C,2013)</f>
        <v>60.52</v>
      </c>
      <c r="H11" s="1" t="n">
        <f aca="false">SUMIFS(Data!$K:$K,Data!$A:$A,$A11,Data!$C:$C,2024)</f>
        <v>57.17</v>
      </c>
      <c r="I11" s="1" t="n">
        <f aca="false">H11-G11</f>
        <v>-3.35</v>
      </c>
      <c r="J11" s="1" t="str">
        <f aca="false">IF($E11&gt;65,"High Risk",IF($E11&gt;=40,"Medium Risk","Low Risk"))</f>
        <v>Medium Risk</v>
      </c>
      <c r="K11" s="1" t="n">
        <f aca="false">IF($D11,$E11,"")</f>
        <v>57.17</v>
      </c>
      <c r="L11" s="1" t="n">
        <f aca="false">IF($D11,$I11,"")</f>
        <v>-3.35</v>
      </c>
      <c r="M11" s="1" t="n">
        <f aca="false">IFERROR(RANK($K11,$K$2:$K$36,0),"")</f>
        <v>8</v>
      </c>
      <c r="N11" s="1" t="str">
        <f aca="false">IF(AND($D11,$B11="East Asia &amp; Pacific"),$F11,"")</f>
        <v/>
      </c>
      <c r="O11" s="1" t="str">
        <f aca="false">IF(AND($D11,$B11="East Asia &amp; Pacific"),$E11,"")</f>
        <v/>
      </c>
      <c r="P11" s="1" t="str">
        <f aca="false">IF(AND($D11,$B11="Europe &amp; Central Asia"),$F11,"")</f>
        <v/>
      </c>
      <c r="Q11" s="1" t="str">
        <f aca="false">IF(AND($D11,$B11="Europe &amp; Central Asia"),$E11,"")</f>
        <v/>
      </c>
      <c r="R11" s="1" t="str">
        <f aca="false">IF(AND($D11,$B11="Latin America &amp; Caribbean"),$F11,"")</f>
        <v/>
      </c>
      <c r="S11" s="1" t="str">
        <f aca="false">IF(AND($D11,$B11="Latin America &amp; Caribbean"),$E11,"")</f>
        <v/>
      </c>
      <c r="T11" s="1" t="n">
        <f aca="false">IF(AND($D11,$B11="Middle East &amp; North Africa"),$F11,"")</f>
        <v>3338.47</v>
      </c>
      <c r="U11" s="1" t="n">
        <f aca="false">IF(AND($D11,$B11="Middle East &amp; North Africa"),$E11,"")</f>
        <v>57.17</v>
      </c>
      <c r="V11" s="1" t="str">
        <f aca="false">IF(AND($D11,$B11="North America"),$F11,"")</f>
        <v/>
      </c>
      <c r="W11" s="1" t="str">
        <f aca="false">IF(AND($D11,$B11="North America"),$E11,"")</f>
        <v/>
      </c>
      <c r="X11" s="1" t="str">
        <f aca="false">IF(AND($D11,$B11="South Asia"),$F11,"")</f>
        <v/>
      </c>
      <c r="Y11" s="1" t="str">
        <f aca="false">IF(AND($D11,$B11="South Asia"),$E11,"")</f>
        <v/>
      </c>
      <c r="Z11" s="1" t="str">
        <f aca="false">IF(AND($D11,$B11="Sub-Saharan Africa"),$F11,"")</f>
        <v/>
      </c>
      <c r="AA11" s="1" t="str">
        <f aca="false">IF(AND($D11,$B11="Sub-Saharan Africa"),$E11,"")</f>
        <v/>
      </c>
    </row>
    <row r="12" customFormat="false" ht="15" hidden="false" customHeight="true" outlineLevel="0" collapsed="false">
      <c r="A12" s="1" t="str">
        <f aca="false">CountryMeta!A12</f>
        <v>Ethiopia</v>
      </c>
      <c r="B12" s="1" t="str">
        <f aca="false">CountryMeta!C12</f>
        <v>Sub-Saharan Africa</v>
      </c>
      <c r="C12" s="1" t="str">
        <f aca="false">CountryMeta!D12</f>
        <v>Low income</v>
      </c>
      <c r="D12" s="20" t="b">
        <f aca="false">AND(OR($B12=T1_Region,T1_Region="All Regions"),OR($C12=T1_Income,T1_Income="All Income Groups"))</f>
        <v>1</v>
      </c>
      <c r="E12" s="1" t="n">
        <f aca="false">SUMIFS(Data!$K:$K,Data!$A:$A,$A12,Data!$C:$C,T1_Year)</f>
        <v>61.67</v>
      </c>
      <c r="F12" s="1" t="n">
        <f aca="false">SUMIFS(Data!$M:$M,Data!$A:$A,$A12,Data!$C:$C,T1_Year)</f>
        <v>1133.88</v>
      </c>
      <c r="G12" s="1" t="n">
        <f aca="false">SUMIFS(Data!$K:$K,Data!$A:$A,$A12,Data!$C:$C,2013)</f>
        <v>60.29</v>
      </c>
      <c r="H12" s="1" t="n">
        <f aca="false">SUMIFS(Data!$K:$K,Data!$A:$A,$A12,Data!$C:$C,2024)</f>
        <v>61.67</v>
      </c>
      <c r="I12" s="1" t="n">
        <f aca="false">H12-G12</f>
        <v>1.38</v>
      </c>
      <c r="J12" s="1" t="str">
        <f aca="false">IF($E12&gt;65,"High Risk",IF($E12&gt;=40,"Medium Risk","Low Risk"))</f>
        <v>Medium Risk</v>
      </c>
      <c r="K12" s="1" t="n">
        <f aca="false">IF($D12,$E12,"")</f>
        <v>61.67</v>
      </c>
      <c r="L12" s="1" t="n">
        <f aca="false">IF($D12,$I12,"")</f>
        <v>1.38</v>
      </c>
      <c r="M12" s="1" t="n">
        <f aca="false">IFERROR(RANK($K12,$K$2:$K$36,0),"")</f>
        <v>6</v>
      </c>
      <c r="N12" s="1" t="str">
        <f aca="false">IF(AND($D12,$B12="East Asia &amp; Pacific"),$F12,"")</f>
        <v/>
      </c>
      <c r="O12" s="1" t="str">
        <f aca="false">IF(AND($D12,$B12="East Asia &amp; Pacific"),$E12,"")</f>
        <v/>
      </c>
      <c r="P12" s="1" t="str">
        <f aca="false">IF(AND($D12,$B12="Europe &amp; Central Asia"),$F12,"")</f>
        <v/>
      </c>
      <c r="Q12" s="1" t="str">
        <f aca="false">IF(AND($D12,$B12="Europe &amp; Central Asia"),$E12,"")</f>
        <v/>
      </c>
      <c r="R12" s="1" t="str">
        <f aca="false">IF(AND($D12,$B12="Latin America &amp; Caribbean"),$F12,"")</f>
        <v/>
      </c>
      <c r="S12" s="1" t="str">
        <f aca="false">IF(AND($D12,$B12="Latin America &amp; Caribbean"),$E12,"")</f>
        <v/>
      </c>
      <c r="T12" s="1" t="str">
        <f aca="false">IF(AND($D12,$B12="Middle East &amp; North Africa"),$F12,"")</f>
        <v/>
      </c>
      <c r="U12" s="1" t="str">
        <f aca="false">IF(AND($D12,$B12="Middle East &amp; North Africa"),$E12,"")</f>
        <v/>
      </c>
      <c r="V12" s="1" t="str">
        <f aca="false">IF(AND($D12,$B12="North America"),$F12,"")</f>
        <v/>
      </c>
      <c r="W12" s="1" t="str">
        <f aca="false">IF(AND($D12,$B12="North America"),$E12,"")</f>
        <v/>
      </c>
      <c r="X12" s="1" t="str">
        <f aca="false">IF(AND($D12,$B12="South Asia"),$F12,"")</f>
        <v/>
      </c>
      <c r="Y12" s="1" t="str">
        <f aca="false">IF(AND($D12,$B12="South Asia"),$E12,"")</f>
        <v/>
      </c>
      <c r="Z12" s="1" t="n">
        <f aca="false">IF(AND($D12,$B12="Sub-Saharan Africa"),$F12,"")</f>
        <v>1133.88</v>
      </c>
      <c r="AA12" s="1" t="n">
        <f aca="false">IF(AND($D12,$B12="Sub-Saharan Africa"),$E12,"")</f>
        <v>61.67</v>
      </c>
    </row>
    <row r="13" customFormat="false" ht="15" hidden="false" customHeight="true" outlineLevel="0" collapsed="false">
      <c r="A13" s="1" t="str">
        <f aca="false">CountryMeta!A13</f>
        <v>France</v>
      </c>
      <c r="B13" s="1" t="str">
        <f aca="false">CountryMeta!C13</f>
        <v>Europe &amp; Central Asia</v>
      </c>
      <c r="C13" s="1" t="str">
        <f aca="false">CountryMeta!D13</f>
        <v>High income</v>
      </c>
      <c r="D13" s="20" t="b">
        <f aca="false">AND(OR($B13=T1_Region,T1_Region="All Regions"),OR($C13=T1_Income,T1_Income="All Income Groups"))</f>
        <v>1</v>
      </c>
      <c r="E13" s="1" t="n">
        <f aca="false">SUMIFS(Data!$K:$K,Data!$A:$A,$A13,Data!$C:$C,T1_Year)</f>
        <v>29.74</v>
      </c>
      <c r="F13" s="1" t="n">
        <f aca="false">SUMIFS(Data!$M:$M,Data!$A:$A,$A13,Data!$C:$C,T1_Year)</f>
        <v>46103.08</v>
      </c>
      <c r="G13" s="1" t="n">
        <f aca="false">SUMIFS(Data!$K:$K,Data!$A:$A,$A13,Data!$C:$C,2013)</f>
        <v>24.93</v>
      </c>
      <c r="H13" s="1" t="n">
        <f aca="false">SUMIFS(Data!$K:$K,Data!$A:$A,$A13,Data!$C:$C,2024)</f>
        <v>29.74</v>
      </c>
      <c r="I13" s="1" t="n">
        <f aca="false">H13-G13</f>
        <v>4.81</v>
      </c>
      <c r="J13" s="1" t="str">
        <f aca="false">IF($E13&gt;65,"High Risk",IF($E13&gt;=40,"Medium Risk","Low Risk"))</f>
        <v>Low Risk</v>
      </c>
      <c r="K13" s="1" t="n">
        <f aca="false">IF($D13,$E13,"")</f>
        <v>29.74</v>
      </c>
      <c r="L13" s="1" t="n">
        <f aca="false">IF($D13,$I13,"")</f>
        <v>4.81</v>
      </c>
      <c r="M13" s="1" t="n">
        <f aca="false">IFERROR(RANK($K13,$K$2:$K$36,0),"")</f>
        <v>28</v>
      </c>
      <c r="N13" s="1" t="str">
        <f aca="false">IF(AND($D13,$B13="East Asia &amp; Pacific"),$F13,"")</f>
        <v/>
      </c>
      <c r="O13" s="1" t="str">
        <f aca="false">IF(AND($D13,$B13="East Asia &amp; Pacific"),$E13,"")</f>
        <v/>
      </c>
      <c r="P13" s="1" t="n">
        <f aca="false">IF(AND($D13,$B13="Europe &amp; Central Asia"),$F13,"")</f>
        <v>46103.08</v>
      </c>
      <c r="Q13" s="1" t="n">
        <f aca="false">IF(AND($D13,$B13="Europe &amp; Central Asia"),$E13,"")</f>
        <v>29.74</v>
      </c>
      <c r="R13" s="1" t="str">
        <f aca="false">IF(AND($D13,$B13="Latin America &amp; Caribbean"),$F13,"")</f>
        <v/>
      </c>
      <c r="S13" s="1" t="str">
        <f aca="false">IF(AND($D13,$B13="Latin America &amp; Caribbean"),$E13,"")</f>
        <v/>
      </c>
      <c r="T13" s="1" t="str">
        <f aca="false">IF(AND($D13,$B13="Middle East &amp; North Africa"),$F13,"")</f>
        <v/>
      </c>
      <c r="U13" s="1" t="str">
        <f aca="false">IF(AND($D13,$B13="Middle East &amp; North Africa"),$E13,"")</f>
        <v/>
      </c>
      <c r="V13" s="1" t="str">
        <f aca="false">IF(AND($D13,$B13="North America"),$F13,"")</f>
        <v/>
      </c>
      <c r="W13" s="1" t="str">
        <f aca="false">IF(AND($D13,$B13="North America"),$E13,"")</f>
        <v/>
      </c>
      <c r="X13" s="1" t="str">
        <f aca="false">IF(AND($D13,$B13="South Asia"),$F13,"")</f>
        <v/>
      </c>
      <c r="Y13" s="1" t="str">
        <f aca="false">IF(AND($D13,$B13="South Asia"),$E13,"")</f>
        <v/>
      </c>
      <c r="Z13" s="1" t="str">
        <f aca="false">IF(AND($D13,$B13="Sub-Saharan Africa"),$F13,"")</f>
        <v/>
      </c>
      <c r="AA13" s="1" t="str">
        <f aca="false">IF(AND($D13,$B13="Sub-Saharan Africa"),$E13,"")</f>
        <v/>
      </c>
    </row>
    <row r="14" customFormat="false" ht="15" hidden="false" customHeight="true" outlineLevel="0" collapsed="false">
      <c r="A14" s="1" t="str">
        <f aca="false">CountryMeta!A14</f>
        <v>Georgia</v>
      </c>
      <c r="B14" s="1" t="str">
        <f aca="false">CountryMeta!C14</f>
        <v>Europe &amp; Central Asia</v>
      </c>
      <c r="C14" s="1" t="str">
        <f aca="false">CountryMeta!D14</f>
        <v>Upper middle income</v>
      </c>
      <c r="D14" s="20" t="b">
        <f aca="false">AND(OR($B14=T1_Region,T1_Region="All Regions"),OR($C14=T1_Income,T1_Income="All Income Groups"))</f>
        <v>1</v>
      </c>
      <c r="E14" s="1" t="n">
        <f aca="false">SUMIFS(Data!$K:$K,Data!$A:$A,$A14,Data!$C:$C,T1_Year)</f>
        <v>41.09</v>
      </c>
      <c r="F14" s="1" t="n">
        <f aca="false">SUMIFS(Data!$M:$M,Data!$A:$A,$A14,Data!$C:$C,T1_Year)</f>
        <v>8967.68</v>
      </c>
      <c r="G14" s="1" t="n">
        <f aca="false">SUMIFS(Data!$K:$K,Data!$A:$A,$A14,Data!$C:$C,2013)</f>
        <v>38.45</v>
      </c>
      <c r="H14" s="1" t="n">
        <f aca="false">SUMIFS(Data!$K:$K,Data!$A:$A,$A14,Data!$C:$C,2024)</f>
        <v>41.09</v>
      </c>
      <c r="I14" s="1" t="n">
        <f aca="false">H14-G14</f>
        <v>2.64</v>
      </c>
      <c r="J14" s="1" t="str">
        <f aca="false">IF($E14&gt;65,"High Risk",IF($E14&gt;=40,"Medium Risk","Low Risk"))</f>
        <v>Medium Risk</v>
      </c>
      <c r="K14" s="1" t="n">
        <f aca="false">IF($D14,$E14,"")</f>
        <v>41.09</v>
      </c>
      <c r="L14" s="1" t="n">
        <f aca="false">IF($D14,$I14,"")</f>
        <v>2.64</v>
      </c>
      <c r="M14" s="1" t="n">
        <f aca="false">IFERROR(RANK($K14,$K$2:$K$36,0),"")</f>
        <v>22</v>
      </c>
      <c r="N14" s="1" t="str">
        <f aca="false">IF(AND($D14,$B14="East Asia &amp; Pacific"),$F14,"")</f>
        <v/>
      </c>
      <c r="O14" s="1" t="str">
        <f aca="false">IF(AND($D14,$B14="East Asia &amp; Pacific"),$E14,"")</f>
        <v/>
      </c>
      <c r="P14" s="1" t="n">
        <f aca="false">IF(AND($D14,$B14="Europe &amp; Central Asia"),$F14,"")</f>
        <v>8967.68</v>
      </c>
      <c r="Q14" s="1" t="n">
        <f aca="false">IF(AND($D14,$B14="Europe &amp; Central Asia"),$E14,"")</f>
        <v>41.09</v>
      </c>
      <c r="R14" s="1" t="str">
        <f aca="false">IF(AND($D14,$B14="Latin America &amp; Caribbean"),$F14,"")</f>
        <v/>
      </c>
      <c r="S14" s="1" t="str">
        <f aca="false">IF(AND($D14,$B14="Latin America &amp; Caribbean"),$E14,"")</f>
        <v/>
      </c>
      <c r="T14" s="1" t="str">
        <f aca="false">IF(AND($D14,$B14="Middle East &amp; North Africa"),$F14,"")</f>
        <v/>
      </c>
      <c r="U14" s="1" t="str">
        <f aca="false">IF(AND($D14,$B14="Middle East &amp; North Africa"),$E14,"")</f>
        <v/>
      </c>
      <c r="V14" s="1" t="str">
        <f aca="false">IF(AND($D14,$B14="North America"),$F14,"")</f>
        <v/>
      </c>
      <c r="W14" s="1" t="str">
        <f aca="false">IF(AND($D14,$B14="North America"),$E14,"")</f>
        <v/>
      </c>
      <c r="X14" s="1" t="str">
        <f aca="false">IF(AND($D14,$B14="South Asia"),$F14,"")</f>
        <v/>
      </c>
      <c r="Y14" s="1" t="str">
        <f aca="false">IF(AND($D14,$B14="South Asia"),$E14,"")</f>
        <v/>
      </c>
      <c r="Z14" s="1" t="str">
        <f aca="false">IF(AND($D14,$B14="Sub-Saharan Africa"),$F14,"")</f>
        <v/>
      </c>
      <c r="AA14" s="1" t="str">
        <f aca="false">IF(AND($D14,$B14="Sub-Saharan Africa"),$E14,"")</f>
        <v/>
      </c>
    </row>
    <row r="15" customFormat="false" ht="15" hidden="false" customHeight="true" outlineLevel="0" collapsed="false">
      <c r="A15" s="1" t="str">
        <f aca="false">CountryMeta!A15</f>
        <v>Germany</v>
      </c>
      <c r="B15" s="1" t="str">
        <f aca="false">CountryMeta!C15</f>
        <v>Europe &amp; Central Asia</v>
      </c>
      <c r="C15" s="1" t="str">
        <f aca="false">CountryMeta!D15</f>
        <v>High income</v>
      </c>
      <c r="D15" s="20" t="b">
        <f aca="false">AND(OR($B15=T1_Region,T1_Region="All Regions"),OR($C15=T1_Income,T1_Income="All Income Groups"))</f>
        <v>1</v>
      </c>
      <c r="E15" s="1" t="n">
        <f aca="false">SUMIFS(Data!$K:$K,Data!$A:$A,$A15,Data!$C:$C,T1_Year)</f>
        <v>21.2</v>
      </c>
      <c r="F15" s="1" t="n">
        <f aca="false">SUMIFS(Data!$M:$M,Data!$A:$A,$A15,Data!$C:$C,T1_Year)</f>
        <v>56103.73</v>
      </c>
      <c r="G15" s="1" t="n">
        <f aca="false">SUMIFS(Data!$K:$K,Data!$A:$A,$A15,Data!$C:$C,2013)</f>
        <v>18.46</v>
      </c>
      <c r="H15" s="1" t="n">
        <f aca="false">SUMIFS(Data!$K:$K,Data!$A:$A,$A15,Data!$C:$C,2024)</f>
        <v>21.2</v>
      </c>
      <c r="I15" s="1" t="n">
        <f aca="false">H15-G15</f>
        <v>2.74</v>
      </c>
      <c r="J15" s="1" t="str">
        <f aca="false">IF($E15&gt;65,"High Risk",IF($E15&gt;=40,"Medium Risk","Low Risk"))</f>
        <v>Low Risk</v>
      </c>
      <c r="K15" s="1" t="n">
        <f aca="false">IF($D15,$E15,"")</f>
        <v>21.2</v>
      </c>
      <c r="L15" s="1" t="n">
        <f aca="false">IF($D15,$I15,"")</f>
        <v>2.74</v>
      </c>
      <c r="M15" s="1" t="n">
        <f aca="false">IFERROR(RANK($K15,$K$2:$K$36,0),"")</f>
        <v>32</v>
      </c>
      <c r="N15" s="1" t="str">
        <f aca="false">IF(AND($D15,$B15="East Asia &amp; Pacific"),$F15,"")</f>
        <v/>
      </c>
      <c r="O15" s="1" t="str">
        <f aca="false">IF(AND($D15,$B15="East Asia &amp; Pacific"),$E15,"")</f>
        <v/>
      </c>
      <c r="P15" s="1" t="n">
        <f aca="false">IF(AND($D15,$B15="Europe &amp; Central Asia"),$F15,"")</f>
        <v>56103.73</v>
      </c>
      <c r="Q15" s="1" t="n">
        <f aca="false">IF(AND($D15,$B15="Europe &amp; Central Asia"),$E15,"")</f>
        <v>21.2</v>
      </c>
      <c r="R15" s="1" t="str">
        <f aca="false">IF(AND($D15,$B15="Latin America &amp; Caribbean"),$F15,"")</f>
        <v/>
      </c>
      <c r="S15" s="1" t="str">
        <f aca="false">IF(AND($D15,$B15="Latin America &amp; Caribbean"),$E15,"")</f>
        <v/>
      </c>
      <c r="T15" s="1" t="str">
        <f aca="false">IF(AND($D15,$B15="Middle East &amp; North Africa"),$F15,"")</f>
        <v/>
      </c>
      <c r="U15" s="1" t="str">
        <f aca="false">IF(AND($D15,$B15="Middle East &amp; North Africa"),$E15,"")</f>
        <v/>
      </c>
      <c r="V15" s="1" t="str">
        <f aca="false">IF(AND($D15,$B15="North America"),$F15,"")</f>
        <v/>
      </c>
      <c r="W15" s="1" t="str">
        <f aca="false">IF(AND($D15,$B15="North America"),$E15,"")</f>
        <v/>
      </c>
      <c r="X15" s="1" t="str">
        <f aca="false">IF(AND($D15,$B15="South Asia"),$F15,"")</f>
        <v/>
      </c>
      <c r="Y15" s="1" t="str">
        <f aca="false">IF(AND($D15,$B15="South Asia"),$E15,"")</f>
        <v/>
      </c>
      <c r="Z15" s="1" t="str">
        <f aca="false">IF(AND($D15,$B15="Sub-Saharan Africa"),$F15,"")</f>
        <v/>
      </c>
      <c r="AA15" s="1" t="str">
        <f aca="false">IF(AND($D15,$B15="Sub-Saharan Africa"),$E15,"")</f>
        <v/>
      </c>
    </row>
    <row r="16" customFormat="false" ht="15" hidden="false" customHeight="true" outlineLevel="0" collapsed="false">
      <c r="A16" s="1" t="str">
        <f aca="false">CountryMeta!A16</f>
        <v>Greece</v>
      </c>
      <c r="B16" s="1" t="str">
        <f aca="false">CountryMeta!C16</f>
        <v>Europe &amp; Central Asia</v>
      </c>
      <c r="C16" s="1" t="str">
        <f aca="false">CountryMeta!D16</f>
        <v>High income</v>
      </c>
      <c r="D16" s="20" t="b">
        <f aca="false">AND(OR($B16=T1_Region,T1_Region="All Regions"),OR($C16=T1_Income,T1_Income="All Income Groups"))</f>
        <v>1</v>
      </c>
      <c r="E16" s="1" t="n">
        <f aca="false">SUMIFS(Data!$K:$K,Data!$A:$A,$A16,Data!$C:$C,T1_Year)</f>
        <v>38.32</v>
      </c>
      <c r="F16" s="1" t="n">
        <f aca="false">SUMIFS(Data!$M:$M,Data!$A:$A,$A16,Data!$C:$C,T1_Year)</f>
        <v>24626.15</v>
      </c>
      <c r="G16" s="1" t="n">
        <f aca="false">SUMIFS(Data!$K:$K,Data!$A:$A,$A16,Data!$C:$C,2013)</f>
        <v>40.92</v>
      </c>
      <c r="H16" s="1" t="n">
        <f aca="false">SUMIFS(Data!$K:$K,Data!$A:$A,$A16,Data!$C:$C,2024)</f>
        <v>38.32</v>
      </c>
      <c r="I16" s="1" t="n">
        <f aca="false">H16-G16</f>
        <v>-2.6</v>
      </c>
      <c r="J16" s="1" t="str">
        <f aca="false">IF($E16&gt;65,"High Risk",IF($E16&gt;=40,"Medium Risk","Low Risk"))</f>
        <v>Low Risk</v>
      </c>
      <c r="K16" s="1" t="n">
        <f aca="false">IF($D16,$E16,"")</f>
        <v>38.32</v>
      </c>
      <c r="L16" s="1" t="n">
        <f aca="false">IF($D16,$I16,"")</f>
        <v>-2.6</v>
      </c>
      <c r="M16" s="1" t="n">
        <f aca="false">IFERROR(RANK($K16,$K$2:$K$36,0),"")</f>
        <v>23</v>
      </c>
      <c r="N16" s="1" t="str">
        <f aca="false">IF(AND($D16,$B16="East Asia &amp; Pacific"),$F16,"")</f>
        <v/>
      </c>
      <c r="O16" s="1" t="str">
        <f aca="false">IF(AND($D16,$B16="East Asia &amp; Pacific"),$E16,"")</f>
        <v/>
      </c>
      <c r="P16" s="1" t="n">
        <f aca="false">IF(AND($D16,$B16="Europe &amp; Central Asia"),$F16,"")</f>
        <v>24626.15</v>
      </c>
      <c r="Q16" s="1" t="n">
        <f aca="false">IF(AND($D16,$B16="Europe &amp; Central Asia"),$E16,"")</f>
        <v>38.32</v>
      </c>
      <c r="R16" s="1" t="str">
        <f aca="false">IF(AND($D16,$B16="Latin America &amp; Caribbean"),$F16,"")</f>
        <v/>
      </c>
      <c r="S16" s="1" t="str">
        <f aca="false">IF(AND($D16,$B16="Latin America &amp; Caribbean"),$E16,"")</f>
        <v/>
      </c>
      <c r="T16" s="1" t="str">
        <f aca="false">IF(AND($D16,$B16="Middle East &amp; North Africa"),$F16,"")</f>
        <v/>
      </c>
      <c r="U16" s="1" t="str">
        <f aca="false">IF(AND($D16,$B16="Middle East &amp; North Africa"),$E16,"")</f>
        <v/>
      </c>
      <c r="V16" s="1" t="str">
        <f aca="false">IF(AND($D16,$B16="North America"),$F16,"")</f>
        <v/>
      </c>
      <c r="W16" s="1" t="str">
        <f aca="false">IF(AND($D16,$B16="North America"),$E16,"")</f>
        <v/>
      </c>
      <c r="X16" s="1" t="str">
        <f aca="false">IF(AND($D16,$B16="South Asia"),$F16,"")</f>
        <v/>
      </c>
      <c r="Y16" s="1" t="str">
        <f aca="false">IF(AND($D16,$B16="South Asia"),$E16,"")</f>
        <v/>
      </c>
      <c r="Z16" s="1" t="str">
        <f aca="false">IF(AND($D16,$B16="Sub-Saharan Africa"),$F16,"")</f>
        <v/>
      </c>
      <c r="AA16" s="1" t="str">
        <f aca="false">IF(AND($D16,$B16="Sub-Saharan Africa"),$E16,"")</f>
        <v/>
      </c>
    </row>
    <row r="17" customFormat="false" ht="15" hidden="false" customHeight="true" outlineLevel="0" collapsed="false">
      <c r="A17" s="1" t="str">
        <f aca="false">CountryMeta!A17</f>
        <v>India</v>
      </c>
      <c r="B17" s="1" t="str">
        <f aca="false">CountryMeta!C17</f>
        <v>South Asia</v>
      </c>
      <c r="C17" s="1" t="str">
        <f aca="false">CountryMeta!D17</f>
        <v>Lower middle income</v>
      </c>
      <c r="D17" s="20" t="b">
        <f aca="false">AND(OR($B17=T1_Region,T1_Region="All Regions"),OR($C17=T1_Income,T1_Income="All Income Groups"))</f>
        <v>1</v>
      </c>
      <c r="E17" s="1" t="n">
        <f aca="false">SUMIFS(Data!$K:$K,Data!$A:$A,$A17,Data!$C:$C,T1_Year)</f>
        <v>49</v>
      </c>
      <c r="F17" s="1" t="n">
        <f aca="false">SUMIFS(Data!$M:$M,Data!$A:$A,$A17,Data!$C:$C,T1_Year)</f>
        <v>2591.99</v>
      </c>
      <c r="G17" s="1" t="n">
        <f aca="false">SUMIFS(Data!$K:$K,Data!$A:$A,$A17,Data!$C:$C,2013)</f>
        <v>52.96</v>
      </c>
      <c r="H17" s="1" t="n">
        <f aca="false">SUMIFS(Data!$K:$K,Data!$A:$A,$A17,Data!$C:$C,2024)</f>
        <v>49</v>
      </c>
      <c r="I17" s="1" t="n">
        <f aca="false">H17-G17</f>
        <v>-3.96</v>
      </c>
      <c r="J17" s="1" t="str">
        <f aca="false">IF($E17&gt;65,"High Risk",IF($E17&gt;=40,"Medium Risk","Low Risk"))</f>
        <v>Medium Risk</v>
      </c>
      <c r="K17" s="1" t="n">
        <f aca="false">IF($D17,$E17,"")</f>
        <v>49</v>
      </c>
      <c r="L17" s="1" t="n">
        <f aca="false">IF($D17,$I17,"")</f>
        <v>-3.96</v>
      </c>
      <c r="M17" s="1" t="n">
        <f aca="false">IFERROR(RANK($K17,$K$2:$K$36,0),"")</f>
        <v>17</v>
      </c>
      <c r="N17" s="1" t="str">
        <f aca="false">IF(AND($D17,$B17="East Asia &amp; Pacific"),$F17,"")</f>
        <v/>
      </c>
      <c r="O17" s="1" t="str">
        <f aca="false">IF(AND($D17,$B17="East Asia &amp; Pacific"),$E17,"")</f>
        <v/>
      </c>
      <c r="P17" s="1" t="str">
        <f aca="false">IF(AND($D17,$B17="Europe &amp; Central Asia"),$F17,"")</f>
        <v/>
      </c>
      <c r="Q17" s="1" t="str">
        <f aca="false">IF(AND($D17,$B17="Europe &amp; Central Asia"),$E17,"")</f>
        <v/>
      </c>
      <c r="R17" s="1" t="str">
        <f aca="false">IF(AND($D17,$B17="Latin America &amp; Caribbean"),$F17,"")</f>
        <v/>
      </c>
      <c r="S17" s="1" t="str">
        <f aca="false">IF(AND($D17,$B17="Latin America &amp; Caribbean"),$E17,"")</f>
        <v/>
      </c>
      <c r="T17" s="1" t="str">
        <f aca="false">IF(AND($D17,$B17="Middle East &amp; North Africa"),$F17,"")</f>
        <v/>
      </c>
      <c r="U17" s="1" t="str">
        <f aca="false">IF(AND($D17,$B17="Middle East &amp; North Africa"),$E17,"")</f>
        <v/>
      </c>
      <c r="V17" s="1" t="str">
        <f aca="false">IF(AND($D17,$B17="North America"),$F17,"")</f>
        <v/>
      </c>
      <c r="W17" s="1" t="str">
        <f aca="false">IF(AND($D17,$B17="North America"),$E17,"")</f>
        <v/>
      </c>
      <c r="X17" s="1" t="n">
        <f aca="false">IF(AND($D17,$B17="South Asia"),$F17,"")</f>
        <v>2591.99</v>
      </c>
      <c r="Y17" s="1" t="n">
        <f aca="false">IF(AND($D17,$B17="South Asia"),$E17,"")</f>
        <v>49</v>
      </c>
      <c r="Z17" s="1" t="str">
        <f aca="false">IF(AND($D17,$B17="Sub-Saharan Africa"),$F17,"")</f>
        <v/>
      </c>
      <c r="AA17" s="1" t="str">
        <f aca="false">IF(AND($D17,$B17="Sub-Saharan Africa"),$E17,"")</f>
        <v/>
      </c>
    </row>
    <row r="18" customFormat="false" ht="15" hidden="false" customHeight="true" outlineLevel="0" collapsed="false">
      <c r="A18" s="1" t="str">
        <f aca="false">CountryMeta!A18</f>
        <v>Indonesia</v>
      </c>
      <c r="B18" s="1" t="str">
        <f aca="false">CountryMeta!C18</f>
        <v>East Asia &amp; Pacific</v>
      </c>
      <c r="C18" s="1" t="str">
        <f aca="false">CountryMeta!D18</f>
        <v>Lower middle income</v>
      </c>
      <c r="D18" s="20" t="b">
        <f aca="false">AND(OR($B18=T1_Region,T1_Region="All Regions"),OR($C18=T1_Income,T1_Income="All Income Groups"))</f>
        <v>1</v>
      </c>
      <c r="E18" s="1" t="n">
        <f aca="false">SUMIFS(Data!$K:$K,Data!$A:$A,$A18,Data!$C:$C,T1_Year)</f>
        <v>49.36</v>
      </c>
      <c r="F18" s="1" t="n">
        <f aca="false">SUMIFS(Data!$M:$M,Data!$A:$A,$A18,Data!$C:$C,T1_Year)</f>
        <v>4925.44</v>
      </c>
      <c r="G18" s="1" t="n">
        <f aca="false">SUMIFS(Data!$K:$K,Data!$A:$A,$A18,Data!$C:$C,2013)</f>
        <v>51.93</v>
      </c>
      <c r="H18" s="1" t="n">
        <f aca="false">SUMIFS(Data!$K:$K,Data!$A:$A,$A18,Data!$C:$C,2024)</f>
        <v>49.36</v>
      </c>
      <c r="I18" s="1" t="n">
        <f aca="false">H18-G18</f>
        <v>-2.57</v>
      </c>
      <c r="J18" s="1" t="str">
        <f aca="false">IF($E18&gt;65,"High Risk",IF($E18&gt;=40,"Medium Risk","Low Risk"))</f>
        <v>Medium Risk</v>
      </c>
      <c r="K18" s="1" t="n">
        <f aca="false">IF($D18,$E18,"")</f>
        <v>49.36</v>
      </c>
      <c r="L18" s="1" t="n">
        <f aca="false">IF($D18,$I18,"")</f>
        <v>-2.57</v>
      </c>
      <c r="M18" s="1" t="n">
        <f aca="false">IFERROR(RANK($K18,$K$2:$K$36,0),"")</f>
        <v>15</v>
      </c>
      <c r="N18" s="1" t="n">
        <f aca="false">IF(AND($D18,$B18="East Asia &amp; Pacific"),$F18,"")</f>
        <v>4925.44</v>
      </c>
      <c r="O18" s="1" t="n">
        <f aca="false">IF(AND($D18,$B18="East Asia &amp; Pacific"),$E18,"")</f>
        <v>49.36</v>
      </c>
      <c r="P18" s="1" t="str">
        <f aca="false">IF(AND($D18,$B18="Europe &amp; Central Asia"),$F18,"")</f>
        <v/>
      </c>
      <c r="Q18" s="1" t="str">
        <f aca="false">IF(AND($D18,$B18="Europe &amp; Central Asia"),$E18,"")</f>
        <v/>
      </c>
      <c r="R18" s="1" t="str">
        <f aca="false">IF(AND($D18,$B18="Latin America &amp; Caribbean"),$F18,"")</f>
        <v/>
      </c>
      <c r="S18" s="1" t="str">
        <f aca="false">IF(AND($D18,$B18="Latin America &amp; Caribbean"),$E18,"")</f>
        <v/>
      </c>
      <c r="T18" s="1" t="str">
        <f aca="false">IF(AND($D18,$B18="Middle East &amp; North Africa"),$F18,"")</f>
        <v/>
      </c>
      <c r="U18" s="1" t="str">
        <f aca="false">IF(AND($D18,$B18="Middle East &amp; North Africa"),$E18,"")</f>
        <v/>
      </c>
      <c r="V18" s="1" t="str">
        <f aca="false">IF(AND($D18,$B18="North America"),$F18,"")</f>
        <v/>
      </c>
      <c r="W18" s="1" t="str">
        <f aca="false">IF(AND($D18,$B18="North America"),$E18,"")</f>
        <v/>
      </c>
      <c r="X18" s="1" t="str">
        <f aca="false">IF(AND($D18,$B18="South Asia"),$F18,"")</f>
        <v/>
      </c>
      <c r="Y18" s="1" t="str">
        <f aca="false">IF(AND($D18,$B18="South Asia"),$E18,"")</f>
        <v/>
      </c>
      <c r="Z18" s="1" t="str">
        <f aca="false">IF(AND($D18,$B18="Sub-Saharan Africa"),$F18,"")</f>
        <v/>
      </c>
      <c r="AA18" s="1" t="str">
        <f aca="false">IF(AND($D18,$B18="Sub-Saharan Africa"),$E18,"")</f>
        <v/>
      </c>
    </row>
    <row r="19" customFormat="false" ht="15" hidden="false" customHeight="true" outlineLevel="0" collapsed="false">
      <c r="A19" s="1" t="str">
        <f aca="false">CountryMeta!A19</f>
        <v>Iran, Islamic Rep.</v>
      </c>
      <c r="B19" s="1" t="str">
        <f aca="false">CountryMeta!C19</f>
        <v>Middle East &amp; North Africa</v>
      </c>
      <c r="C19" s="1" t="str">
        <f aca="false">CountryMeta!D19</f>
        <v>Lower middle income</v>
      </c>
      <c r="D19" s="20" t="b">
        <f aca="false">AND(OR($B19=T1_Region,T1_Region="All Regions"),OR($C19=T1_Income,T1_Income="All Income Groups"))</f>
        <v>1</v>
      </c>
      <c r="E19" s="1" t="n">
        <f aca="false">SUMIFS(Data!$K:$K,Data!$A:$A,$A19,Data!$C:$C,T1_Year)</f>
        <v>67.44</v>
      </c>
      <c r="F19" s="1" t="n">
        <f aca="false">SUMIFS(Data!$M:$M,Data!$A:$A,$A19,Data!$C:$C,T1_Year)</f>
        <v>5190.17</v>
      </c>
      <c r="G19" s="1" t="n">
        <f aca="false">SUMIFS(Data!$K:$K,Data!$A:$A,$A19,Data!$C:$C,2013)</f>
        <v>63.89</v>
      </c>
      <c r="H19" s="1" t="n">
        <f aca="false">SUMIFS(Data!$K:$K,Data!$A:$A,$A19,Data!$C:$C,2024)</f>
        <v>67.44</v>
      </c>
      <c r="I19" s="1" t="n">
        <f aca="false">H19-G19</f>
        <v>3.55</v>
      </c>
      <c r="J19" s="1" t="str">
        <f aca="false">IF($E19&gt;65,"High Risk",IF($E19&gt;=40,"Medium Risk","Low Risk"))</f>
        <v>High Risk</v>
      </c>
      <c r="K19" s="1" t="n">
        <f aca="false">IF($D19,$E19,"")</f>
        <v>67.44</v>
      </c>
      <c r="L19" s="1" t="n">
        <f aca="false">IF($D19,$I19,"")</f>
        <v>3.55</v>
      </c>
      <c r="M19" s="1" t="n">
        <f aca="false">IFERROR(RANK($K19,$K$2:$K$36,0),"")</f>
        <v>2</v>
      </c>
      <c r="N19" s="1" t="str">
        <f aca="false">IF(AND($D19,$B19="East Asia &amp; Pacific"),$F19,"")</f>
        <v/>
      </c>
      <c r="O19" s="1" t="str">
        <f aca="false">IF(AND($D19,$B19="East Asia &amp; Pacific"),$E19,"")</f>
        <v/>
      </c>
      <c r="P19" s="1" t="str">
        <f aca="false">IF(AND($D19,$B19="Europe &amp; Central Asia"),$F19,"")</f>
        <v/>
      </c>
      <c r="Q19" s="1" t="str">
        <f aca="false">IF(AND($D19,$B19="Europe &amp; Central Asia"),$E19,"")</f>
        <v/>
      </c>
      <c r="R19" s="1" t="str">
        <f aca="false">IF(AND($D19,$B19="Latin America &amp; Caribbean"),$F19,"")</f>
        <v/>
      </c>
      <c r="S19" s="1" t="str">
        <f aca="false">IF(AND($D19,$B19="Latin America &amp; Caribbean"),$E19,"")</f>
        <v/>
      </c>
      <c r="T19" s="1" t="n">
        <f aca="false">IF(AND($D19,$B19="Middle East &amp; North Africa"),$F19,"")</f>
        <v>5190.17</v>
      </c>
      <c r="U19" s="1" t="n">
        <f aca="false">IF(AND($D19,$B19="Middle East &amp; North Africa"),$E19,"")</f>
        <v>67.44</v>
      </c>
      <c r="V19" s="1" t="str">
        <f aca="false">IF(AND($D19,$B19="North America"),$F19,"")</f>
        <v/>
      </c>
      <c r="W19" s="1" t="str">
        <f aca="false">IF(AND($D19,$B19="North America"),$E19,"")</f>
        <v/>
      </c>
      <c r="X19" s="1" t="str">
        <f aca="false">IF(AND($D19,$B19="South Asia"),$F19,"")</f>
        <v/>
      </c>
      <c r="Y19" s="1" t="str">
        <f aca="false">IF(AND($D19,$B19="South Asia"),$E19,"")</f>
        <v/>
      </c>
      <c r="Z19" s="1" t="str">
        <f aca="false">IF(AND($D19,$B19="Sub-Saharan Africa"),$F19,"")</f>
        <v/>
      </c>
      <c r="AA19" s="1" t="str">
        <f aca="false">IF(AND($D19,$B19="Sub-Saharan Africa"),$E19,"")</f>
        <v/>
      </c>
    </row>
    <row r="20" customFormat="false" ht="15" hidden="false" customHeight="true" outlineLevel="0" collapsed="false">
      <c r="A20" s="1" t="str">
        <f aca="false">CountryMeta!A20</f>
        <v>Italy</v>
      </c>
      <c r="B20" s="1" t="str">
        <f aca="false">CountryMeta!C20</f>
        <v>Europe &amp; Central Asia</v>
      </c>
      <c r="C20" s="1" t="str">
        <f aca="false">CountryMeta!D20</f>
        <v>High income</v>
      </c>
      <c r="D20" s="20" t="b">
        <f aca="false">AND(OR($B20=T1_Region,T1_Region="All Regions"),OR($C20=T1_Income,T1_Income="All Income Groups"))</f>
        <v>1</v>
      </c>
      <c r="E20" s="1" t="n">
        <f aca="false">SUMIFS(Data!$K:$K,Data!$A:$A,$A20,Data!$C:$C,T1_Year)</f>
        <v>34.3</v>
      </c>
      <c r="F20" s="1" t="n">
        <f aca="false">SUMIFS(Data!$M:$M,Data!$A:$A,$A20,Data!$C:$C,T1_Year)</f>
        <v>40429.62</v>
      </c>
      <c r="G20" s="1" t="n">
        <f aca="false">SUMIFS(Data!$K:$K,Data!$A:$A,$A20,Data!$C:$C,2013)</f>
        <v>37.54</v>
      </c>
      <c r="H20" s="1" t="n">
        <f aca="false">SUMIFS(Data!$K:$K,Data!$A:$A,$A20,Data!$C:$C,2024)</f>
        <v>34.3</v>
      </c>
      <c r="I20" s="1" t="n">
        <f aca="false">H20-G20</f>
        <v>-3.24</v>
      </c>
      <c r="J20" s="1" t="str">
        <f aca="false">IF($E20&gt;65,"High Risk",IF($E20&gt;=40,"Medium Risk","Low Risk"))</f>
        <v>Low Risk</v>
      </c>
      <c r="K20" s="1" t="n">
        <f aca="false">IF($D20,$E20,"")</f>
        <v>34.3</v>
      </c>
      <c r="L20" s="1" t="n">
        <f aca="false">IF($D20,$I20,"")</f>
        <v>-3.24</v>
      </c>
      <c r="M20" s="1" t="n">
        <f aca="false">IFERROR(RANK($K20,$K$2:$K$36,0),"")</f>
        <v>25</v>
      </c>
      <c r="N20" s="1" t="str">
        <f aca="false">IF(AND($D20,$B20="East Asia &amp; Pacific"),$F20,"")</f>
        <v/>
      </c>
      <c r="O20" s="1" t="str">
        <f aca="false">IF(AND($D20,$B20="East Asia &amp; Pacific"),$E20,"")</f>
        <v/>
      </c>
      <c r="P20" s="1" t="n">
        <f aca="false">IF(AND($D20,$B20="Europe &amp; Central Asia"),$F20,"")</f>
        <v>40429.62</v>
      </c>
      <c r="Q20" s="1" t="n">
        <f aca="false">IF(AND($D20,$B20="Europe &amp; Central Asia"),$E20,"")</f>
        <v>34.3</v>
      </c>
      <c r="R20" s="1" t="str">
        <f aca="false">IF(AND($D20,$B20="Latin America &amp; Caribbean"),$F20,"")</f>
        <v/>
      </c>
      <c r="S20" s="1" t="str">
        <f aca="false">IF(AND($D20,$B20="Latin America &amp; Caribbean"),$E20,"")</f>
        <v/>
      </c>
      <c r="T20" s="1" t="str">
        <f aca="false">IF(AND($D20,$B20="Middle East &amp; North Africa"),$F20,"")</f>
        <v/>
      </c>
      <c r="U20" s="1" t="str">
        <f aca="false">IF(AND($D20,$B20="Middle East &amp; North Africa"),$E20,"")</f>
        <v/>
      </c>
      <c r="V20" s="1" t="str">
        <f aca="false">IF(AND($D20,$B20="North America"),$F20,"")</f>
        <v/>
      </c>
      <c r="W20" s="1" t="str">
        <f aca="false">IF(AND($D20,$B20="North America"),$E20,"")</f>
        <v/>
      </c>
      <c r="X20" s="1" t="str">
        <f aca="false">IF(AND($D20,$B20="South Asia"),$F20,"")</f>
        <v/>
      </c>
      <c r="Y20" s="1" t="str">
        <f aca="false">IF(AND($D20,$B20="South Asia"),$E20,"")</f>
        <v/>
      </c>
      <c r="Z20" s="1" t="str">
        <f aca="false">IF(AND($D20,$B20="Sub-Saharan Africa"),$F20,"")</f>
        <v/>
      </c>
      <c r="AA20" s="1" t="str">
        <f aca="false">IF(AND($D20,$B20="Sub-Saharan Africa"),$E20,"")</f>
        <v/>
      </c>
    </row>
    <row r="21" customFormat="false" ht="15" hidden="false" customHeight="true" outlineLevel="0" collapsed="false">
      <c r="A21" s="1" t="str">
        <f aca="false">CountryMeta!A21</f>
        <v>Japan</v>
      </c>
      <c r="B21" s="1" t="str">
        <f aca="false">CountryMeta!C21</f>
        <v>East Asia &amp; Pacific</v>
      </c>
      <c r="C21" s="1" t="str">
        <f aca="false">CountryMeta!D21</f>
        <v>High income</v>
      </c>
      <c r="D21" s="20" t="b">
        <f aca="false">AND(OR($B21=T1_Region,T1_Region="All Regions"),OR($C21=T1_Income,T1_Income="All Income Groups"))</f>
        <v>1</v>
      </c>
      <c r="E21" s="1" t="n">
        <f aca="false">SUMIFS(Data!$K:$K,Data!$A:$A,$A21,Data!$C:$C,T1_Year)</f>
        <v>20.15</v>
      </c>
      <c r="F21" s="1" t="n">
        <f aca="false">SUMIFS(Data!$M:$M,Data!$A:$A,$A21,Data!$C:$C,T1_Year)</f>
        <v>33797.1</v>
      </c>
      <c r="G21" s="1" t="n">
        <f aca="false">SUMIFS(Data!$K:$K,Data!$A:$A,$A21,Data!$C:$C,2013)</f>
        <v>20.28</v>
      </c>
      <c r="H21" s="1" t="n">
        <f aca="false">SUMIFS(Data!$K:$K,Data!$A:$A,$A21,Data!$C:$C,2024)</f>
        <v>20.15</v>
      </c>
      <c r="I21" s="1" t="n">
        <f aca="false">H21-G21</f>
        <v>-0.130000000000003</v>
      </c>
      <c r="J21" s="1" t="str">
        <f aca="false">IF($E21&gt;65,"High Risk",IF($E21&gt;=40,"Medium Risk","Low Risk"))</f>
        <v>Low Risk</v>
      </c>
      <c r="K21" s="1" t="n">
        <f aca="false">IF($D21,$E21,"")</f>
        <v>20.15</v>
      </c>
      <c r="L21" s="1" t="n">
        <f aca="false">IF($D21,$I21,"")</f>
        <v>-0.130000000000003</v>
      </c>
      <c r="M21" s="1" t="n">
        <f aca="false">IFERROR(RANK($K21,$K$2:$K$36,0),"")</f>
        <v>34</v>
      </c>
      <c r="N21" s="1" t="n">
        <f aca="false">IF(AND($D21,$B21="East Asia &amp; Pacific"),$F21,"")</f>
        <v>33797.1</v>
      </c>
      <c r="O21" s="1" t="n">
        <f aca="false">IF(AND($D21,$B21="East Asia &amp; Pacific"),$E21,"")</f>
        <v>20.15</v>
      </c>
      <c r="P21" s="1" t="str">
        <f aca="false">IF(AND($D21,$B21="Europe &amp; Central Asia"),$F21,"")</f>
        <v/>
      </c>
      <c r="Q21" s="1" t="str">
        <f aca="false">IF(AND($D21,$B21="Europe &amp; Central Asia"),$E21,"")</f>
        <v/>
      </c>
      <c r="R21" s="1" t="str">
        <f aca="false">IF(AND($D21,$B21="Latin America &amp; Caribbean"),$F21,"")</f>
        <v/>
      </c>
      <c r="S21" s="1" t="str">
        <f aca="false">IF(AND($D21,$B21="Latin America &amp; Caribbean"),$E21,"")</f>
        <v/>
      </c>
      <c r="T21" s="1" t="str">
        <f aca="false">IF(AND($D21,$B21="Middle East &amp; North Africa"),$F21,"")</f>
        <v/>
      </c>
      <c r="U21" s="1" t="str">
        <f aca="false">IF(AND($D21,$B21="Middle East &amp; North Africa"),$E21,"")</f>
        <v/>
      </c>
      <c r="V21" s="1" t="str">
        <f aca="false">IF(AND($D21,$B21="North America"),$F21,"")</f>
        <v/>
      </c>
      <c r="W21" s="1" t="str">
        <f aca="false">IF(AND($D21,$B21="North America"),$E21,"")</f>
        <v/>
      </c>
      <c r="X21" s="1" t="str">
        <f aca="false">IF(AND($D21,$B21="South Asia"),$F21,"")</f>
        <v/>
      </c>
      <c r="Y21" s="1" t="str">
        <f aca="false">IF(AND($D21,$B21="South Asia"),$E21,"")</f>
        <v/>
      </c>
      <c r="Z21" s="1" t="str">
        <f aca="false">IF(AND($D21,$B21="Sub-Saharan Africa"),$F21,"")</f>
        <v/>
      </c>
      <c r="AA21" s="1" t="str">
        <f aca="false">IF(AND($D21,$B21="Sub-Saharan Africa"),$E21,"")</f>
        <v/>
      </c>
    </row>
    <row r="22" customFormat="false" ht="15" hidden="false" customHeight="true" outlineLevel="0" collapsed="false">
      <c r="A22" s="1" t="str">
        <f aca="false">CountryMeta!A22</f>
        <v>Kazakhstan</v>
      </c>
      <c r="B22" s="1" t="str">
        <f aca="false">CountryMeta!C22</f>
        <v>Europe &amp; Central Asia</v>
      </c>
      <c r="C22" s="1" t="str">
        <f aca="false">CountryMeta!D22</f>
        <v>Upper middle income</v>
      </c>
      <c r="D22" s="20" t="b">
        <f aca="false">AND(OR($B22=T1_Region,T1_Region="All Regions"),OR($C22=T1_Income,T1_Income="All Income Groups"))</f>
        <v>1</v>
      </c>
      <c r="E22" s="1" t="n">
        <f aca="false">SUMIFS(Data!$K:$K,Data!$A:$A,$A22,Data!$C:$C,T1_Year)</f>
        <v>46.61</v>
      </c>
      <c r="F22" s="1" t="n">
        <f aca="false">SUMIFS(Data!$M:$M,Data!$A:$A,$A22,Data!$C:$C,T1_Year)</f>
        <v>14154.63</v>
      </c>
      <c r="G22" s="1" t="n">
        <f aca="false">SUMIFS(Data!$K:$K,Data!$A:$A,$A22,Data!$C:$C,2013)</f>
        <v>54.49</v>
      </c>
      <c r="H22" s="1" t="n">
        <f aca="false">SUMIFS(Data!$K:$K,Data!$A:$A,$A22,Data!$C:$C,2024)</f>
        <v>46.61</v>
      </c>
      <c r="I22" s="1" t="n">
        <f aca="false">H22-G22</f>
        <v>-7.88</v>
      </c>
      <c r="J22" s="1" t="str">
        <f aca="false">IF($E22&gt;65,"High Risk",IF($E22&gt;=40,"Medium Risk","Low Risk"))</f>
        <v>Medium Risk</v>
      </c>
      <c r="K22" s="1" t="n">
        <f aca="false">IF($D22,$E22,"")</f>
        <v>46.61</v>
      </c>
      <c r="L22" s="1" t="n">
        <f aca="false">IF($D22,$I22,"")</f>
        <v>-7.88</v>
      </c>
      <c r="M22" s="1" t="n">
        <f aca="false">IFERROR(RANK($K22,$K$2:$K$36,0),"")</f>
        <v>20</v>
      </c>
      <c r="N22" s="1" t="str">
        <f aca="false">IF(AND($D22,$B22="East Asia &amp; Pacific"),$F22,"")</f>
        <v/>
      </c>
      <c r="O22" s="1" t="str">
        <f aca="false">IF(AND($D22,$B22="East Asia &amp; Pacific"),$E22,"")</f>
        <v/>
      </c>
      <c r="P22" s="1" t="n">
        <f aca="false">IF(AND($D22,$B22="Europe &amp; Central Asia"),$F22,"")</f>
        <v>14154.63</v>
      </c>
      <c r="Q22" s="1" t="n">
        <f aca="false">IF(AND($D22,$B22="Europe &amp; Central Asia"),$E22,"")</f>
        <v>46.61</v>
      </c>
      <c r="R22" s="1" t="str">
        <f aca="false">IF(AND($D22,$B22="Latin America &amp; Caribbean"),$F22,"")</f>
        <v/>
      </c>
      <c r="S22" s="1" t="str">
        <f aca="false">IF(AND($D22,$B22="Latin America &amp; Caribbean"),$E22,"")</f>
        <v/>
      </c>
      <c r="T22" s="1" t="str">
        <f aca="false">IF(AND($D22,$B22="Middle East &amp; North Africa"),$F22,"")</f>
        <v/>
      </c>
      <c r="U22" s="1" t="str">
        <f aca="false">IF(AND($D22,$B22="Middle East &amp; North Africa"),$E22,"")</f>
        <v/>
      </c>
      <c r="V22" s="1" t="str">
        <f aca="false">IF(AND($D22,$B22="North America"),$F22,"")</f>
        <v/>
      </c>
      <c r="W22" s="1" t="str">
        <f aca="false">IF(AND($D22,$B22="North America"),$E22,"")</f>
        <v/>
      </c>
      <c r="X22" s="1" t="str">
        <f aca="false">IF(AND($D22,$B22="South Asia"),$F22,"")</f>
        <v/>
      </c>
      <c r="Y22" s="1" t="str">
        <f aca="false">IF(AND($D22,$B22="South Asia"),$E22,"")</f>
        <v/>
      </c>
      <c r="Z22" s="1" t="str">
        <f aca="false">IF(AND($D22,$B22="Sub-Saharan Africa"),$F22,"")</f>
        <v/>
      </c>
      <c r="AA22" s="1" t="str">
        <f aca="false">IF(AND($D22,$B22="Sub-Saharan Africa"),$E22,"")</f>
        <v/>
      </c>
    </row>
    <row r="23" customFormat="false" ht="15" hidden="false" customHeight="true" outlineLevel="0" collapsed="false">
      <c r="A23" s="1" t="str">
        <f aca="false">CountryMeta!A23</f>
        <v>Kenya</v>
      </c>
      <c r="B23" s="1" t="str">
        <f aca="false">CountryMeta!C23</f>
        <v>Sub-Saharan Africa</v>
      </c>
      <c r="C23" s="1" t="str">
        <f aca="false">CountryMeta!D23</f>
        <v>Lower middle income</v>
      </c>
      <c r="D23" s="20" t="b">
        <f aca="false">AND(OR($B23=T1_Region,T1_Region="All Regions"),OR($C23=T1_Income,T1_Income="All Income Groups"))</f>
        <v>1</v>
      </c>
      <c r="E23" s="1" t="n">
        <f aca="false">SUMIFS(Data!$K:$K,Data!$A:$A,$A23,Data!$C:$C,T1_Year)</f>
        <v>56.77</v>
      </c>
      <c r="F23" s="1" t="n">
        <f aca="false">SUMIFS(Data!$M:$M,Data!$A:$A,$A23,Data!$C:$C,T1_Year)</f>
        <v>2133.46</v>
      </c>
      <c r="G23" s="1" t="n">
        <f aca="false">SUMIFS(Data!$K:$K,Data!$A:$A,$A23,Data!$C:$C,2013)</f>
        <v>58.5</v>
      </c>
      <c r="H23" s="1" t="n">
        <f aca="false">SUMIFS(Data!$K:$K,Data!$A:$A,$A23,Data!$C:$C,2024)</f>
        <v>56.77</v>
      </c>
      <c r="I23" s="1" t="n">
        <f aca="false">H23-G23</f>
        <v>-1.73</v>
      </c>
      <c r="J23" s="1" t="str">
        <f aca="false">IF($E23&gt;65,"High Risk",IF($E23&gt;=40,"Medium Risk","Low Risk"))</f>
        <v>Medium Risk</v>
      </c>
      <c r="K23" s="1" t="n">
        <f aca="false">IF($D23,$E23,"")</f>
        <v>56.77</v>
      </c>
      <c r="L23" s="1" t="n">
        <f aca="false">IF($D23,$I23,"")</f>
        <v>-1.73</v>
      </c>
      <c r="M23" s="1" t="n">
        <f aca="false">IFERROR(RANK($K23,$K$2:$K$36,0),"")</f>
        <v>10</v>
      </c>
      <c r="N23" s="1" t="str">
        <f aca="false">IF(AND($D23,$B23="East Asia &amp; Pacific"),$F23,"")</f>
        <v/>
      </c>
      <c r="O23" s="1" t="str">
        <f aca="false">IF(AND($D23,$B23="East Asia &amp; Pacific"),$E23,"")</f>
        <v/>
      </c>
      <c r="P23" s="1" t="str">
        <f aca="false">IF(AND($D23,$B23="Europe &amp; Central Asia"),$F23,"")</f>
        <v/>
      </c>
      <c r="Q23" s="1" t="str">
        <f aca="false">IF(AND($D23,$B23="Europe &amp; Central Asia"),$E23,"")</f>
        <v/>
      </c>
      <c r="R23" s="1" t="str">
        <f aca="false">IF(AND($D23,$B23="Latin America &amp; Caribbean"),$F23,"")</f>
        <v/>
      </c>
      <c r="S23" s="1" t="str">
        <f aca="false">IF(AND($D23,$B23="Latin America &amp; Caribbean"),$E23,"")</f>
        <v/>
      </c>
      <c r="T23" s="1" t="str">
        <f aca="false">IF(AND($D23,$B23="Middle East &amp; North Africa"),$F23,"")</f>
        <v/>
      </c>
      <c r="U23" s="1" t="str">
        <f aca="false">IF(AND($D23,$B23="Middle East &amp; North Africa"),$E23,"")</f>
        <v/>
      </c>
      <c r="V23" s="1" t="str">
        <f aca="false">IF(AND($D23,$B23="North America"),$F23,"")</f>
        <v/>
      </c>
      <c r="W23" s="1" t="str">
        <f aca="false">IF(AND($D23,$B23="North America"),$E23,"")</f>
        <v/>
      </c>
      <c r="X23" s="1" t="str">
        <f aca="false">IF(AND($D23,$B23="South Asia"),$F23,"")</f>
        <v/>
      </c>
      <c r="Y23" s="1" t="str">
        <f aca="false">IF(AND($D23,$B23="South Asia"),$E23,"")</f>
        <v/>
      </c>
      <c r="Z23" s="1" t="n">
        <f aca="false">IF(AND($D23,$B23="Sub-Saharan Africa"),$F23,"")</f>
        <v>2133.46</v>
      </c>
      <c r="AA23" s="1" t="n">
        <f aca="false">IF(AND($D23,$B23="Sub-Saharan Africa"),$E23,"")</f>
        <v>56.77</v>
      </c>
    </row>
    <row r="24" customFormat="false" ht="15" hidden="false" customHeight="true" outlineLevel="0" collapsed="false">
      <c r="A24" s="1" t="str">
        <f aca="false">CountryMeta!A24</f>
        <v>Mexico</v>
      </c>
      <c r="B24" s="1" t="str">
        <f aca="false">CountryMeta!C24</f>
        <v>Latin America &amp; Caribbean</v>
      </c>
      <c r="C24" s="1" t="str">
        <f aca="false">CountryMeta!D24</f>
        <v>Upper middle income</v>
      </c>
      <c r="D24" s="20" t="b">
        <f aca="false">AND(OR($B24=T1_Region,T1_Region="All Regions"),OR($C24=T1_Income,T1_Income="All Income Groups"))</f>
        <v>1</v>
      </c>
      <c r="E24" s="1" t="n">
        <f aca="false">SUMIFS(Data!$K:$K,Data!$A:$A,$A24,Data!$C:$C,T1_Year)</f>
        <v>57.16</v>
      </c>
      <c r="F24" s="1" t="n">
        <f aca="false">SUMIFS(Data!$M:$M,Data!$A:$A,$A24,Data!$C:$C,T1_Year)</f>
        <v>13988.04</v>
      </c>
      <c r="G24" s="1" t="n">
        <f aca="false">SUMIFS(Data!$K:$K,Data!$A:$A,$A24,Data!$C:$C,2013)</f>
        <v>51.39</v>
      </c>
      <c r="H24" s="1" t="n">
        <f aca="false">SUMIFS(Data!$K:$K,Data!$A:$A,$A24,Data!$C:$C,2024)</f>
        <v>57.16</v>
      </c>
      <c r="I24" s="1" t="n">
        <f aca="false">H24-G24</f>
        <v>5.77</v>
      </c>
      <c r="J24" s="1" t="str">
        <f aca="false">IF($E24&gt;65,"High Risk",IF($E24&gt;=40,"Medium Risk","Low Risk"))</f>
        <v>Medium Risk</v>
      </c>
      <c r="K24" s="1" t="n">
        <f aca="false">IF($D24,$E24,"")</f>
        <v>57.16</v>
      </c>
      <c r="L24" s="1" t="n">
        <f aca="false">IF($D24,$I24,"")</f>
        <v>5.77</v>
      </c>
      <c r="M24" s="1" t="n">
        <f aca="false">IFERROR(RANK($K24,$K$2:$K$36,0),"")</f>
        <v>9</v>
      </c>
      <c r="N24" s="1" t="str">
        <f aca="false">IF(AND($D24,$B24="East Asia &amp; Pacific"),$F24,"")</f>
        <v/>
      </c>
      <c r="O24" s="1" t="str">
        <f aca="false">IF(AND($D24,$B24="East Asia &amp; Pacific"),$E24,"")</f>
        <v/>
      </c>
      <c r="P24" s="1" t="str">
        <f aca="false">IF(AND($D24,$B24="Europe &amp; Central Asia"),$F24,"")</f>
        <v/>
      </c>
      <c r="Q24" s="1" t="str">
        <f aca="false">IF(AND($D24,$B24="Europe &amp; Central Asia"),$E24,"")</f>
        <v/>
      </c>
      <c r="R24" s="1" t="n">
        <f aca="false">IF(AND($D24,$B24="Latin America &amp; Caribbean"),$F24,"")</f>
        <v>13988.04</v>
      </c>
      <c r="S24" s="1" t="n">
        <f aca="false">IF(AND($D24,$B24="Latin America &amp; Caribbean"),$E24,"")</f>
        <v>57.16</v>
      </c>
      <c r="T24" s="1" t="str">
        <f aca="false">IF(AND($D24,$B24="Middle East &amp; North Africa"),$F24,"")</f>
        <v/>
      </c>
      <c r="U24" s="1" t="str">
        <f aca="false">IF(AND($D24,$B24="Middle East &amp; North Africa"),$E24,"")</f>
        <v/>
      </c>
      <c r="V24" s="1" t="str">
        <f aca="false">IF(AND($D24,$B24="North America"),$F24,"")</f>
        <v/>
      </c>
      <c r="W24" s="1" t="str">
        <f aca="false">IF(AND($D24,$B24="North America"),$E24,"")</f>
        <v/>
      </c>
      <c r="X24" s="1" t="str">
        <f aca="false">IF(AND($D24,$B24="South Asia"),$F24,"")</f>
        <v/>
      </c>
      <c r="Y24" s="1" t="str">
        <f aca="false">IF(AND($D24,$B24="South Asia"),$E24,"")</f>
        <v/>
      </c>
      <c r="Z24" s="1" t="str">
        <f aca="false">IF(AND($D24,$B24="Sub-Saharan Africa"),$F24,"")</f>
        <v/>
      </c>
      <c r="AA24" s="1" t="str">
        <f aca="false">IF(AND($D24,$B24="Sub-Saharan Africa"),$E24,"")</f>
        <v/>
      </c>
    </row>
    <row r="25" customFormat="false" ht="15" hidden="false" customHeight="true" outlineLevel="0" collapsed="false">
      <c r="A25" s="1" t="str">
        <f aca="false">CountryMeta!A25</f>
        <v>Nigeria</v>
      </c>
      <c r="B25" s="1" t="str">
        <f aca="false">CountryMeta!C25</f>
        <v>Sub-Saharan Africa</v>
      </c>
      <c r="C25" s="1" t="str">
        <f aca="false">CountryMeta!D25</f>
        <v>Lower middle income</v>
      </c>
      <c r="D25" s="20" t="b">
        <f aca="false">AND(OR($B25=T1_Region,T1_Region="All Regions"),OR($C25=T1_Income,T1_Income="All Income Groups"))</f>
        <v>1</v>
      </c>
      <c r="E25" s="1" t="n">
        <f aca="false">SUMIFS(Data!$K:$K,Data!$A:$A,$A25,Data!$C:$C,T1_Year)</f>
        <v>64.63</v>
      </c>
      <c r="F25" s="1" t="n">
        <f aca="false">SUMIFS(Data!$M:$M,Data!$A:$A,$A25,Data!$C:$C,T1_Year)</f>
        <v>1084.16</v>
      </c>
      <c r="G25" s="1" t="n">
        <f aca="false">SUMIFS(Data!$K:$K,Data!$A:$A,$A25,Data!$C:$C,2013)</f>
        <v>66.12</v>
      </c>
      <c r="H25" s="1" t="n">
        <f aca="false">SUMIFS(Data!$K:$K,Data!$A:$A,$A25,Data!$C:$C,2024)</f>
        <v>64.63</v>
      </c>
      <c r="I25" s="1" t="n">
        <f aca="false">H25-G25</f>
        <v>-1.49000000000001</v>
      </c>
      <c r="J25" s="1" t="str">
        <f aca="false">IF($E25&gt;65,"High Risk",IF($E25&gt;=40,"Medium Risk","Low Risk"))</f>
        <v>Medium Risk</v>
      </c>
      <c r="K25" s="1" t="n">
        <f aca="false">IF($D25,$E25,"")</f>
        <v>64.63</v>
      </c>
      <c r="L25" s="1" t="n">
        <f aca="false">IF($D25,$I25,"")</f>
        <v>-1.49000000000001</v>
      </c>
      <c r="M25" s="1" t="n">
        <f aca="false">IFERROR(RANK($K25,$K$2:$K$36,0),"")</f>
        <v>4</v>
      </c>
      <c r="N25" s="1" t="str">
        <f aca="false">IF(AND($D25,$B25="East Asia &amp; Pacific"),$F25,"")</f>
        <v/>
      </c>
      <c r="O25" s="1" t="str">
        <f aca="false">IF(AND($D25,$B25="East Asia &amp; Pacific"),$E25,"")</f>
        <v/>
      </c>
      <c r="P25" s="1" t="str">
        <f aca="false">IF(AND($D25,$B25="Europe &amp; Central Asia"),$F25,"")</f>
        <v/>
      </c>
      <c r="Q25" s="1" t="str">
        <f aca="false">IF(AND($D25,$B25="Europe &amp; Central Asia"),$E25,"")</f>
        <v/>
      </c>
      <c r="R25" s="1" t="str">
        <f aca="false">IF(AND($D25,$B25="Latin America &amp; Caribbean"),$F25,"")</f>
        <v/>
      </c>
      <c r="S25" s="1" t="str">
        <f aca="false">IF(AND($D25,$B25="Latin America &amp; Caribbean"),$E25,"")</f>
        <v/>
      </c>
      <c r="T25" s="1" t="str">
        <f aca="false">IF(AND($D25,$B25="Middle East &amp; North Africa"),$F25,"")</f>
        <v/>
      </c>
      <c r="U25" s="1" t="str">
        <f aca="false">IF(AND($D25,$B25="Middle East &amp; North Africa"),$E25,"")</f>
        <v/>
      </c>
      <c r="V25" s="1" t="str">
        <f aca="false">IF(AND($D25,$B25="North America"),$F25,"")</f>
        <v/>
      </c>
      <c r="W25" s="1" t="str">
        <f aca="false">IF(AND($D25,$B25="North America"),$E25,"")</f>
        <v/>
      </c>
      <c r="X25" s="1" t="str">
        <f aca="false">IF(AND($D25,$B25="South Asia"),$F25,"")</f>
        <v/>
      </c>
      <c r="Y25" s="1" t="str">
        <f aca="false">IF(AND($D25,$B25="South Asia"),$E25,"")</f>
        <v/>
      </c>
      <c r="Z25" s="1" t="n">
        <f aca="false">IF(AND($D25,$B25="Sub-Saharan Africa"),$F25,"")</f>
        <v>1084.16</v>
      </c>
      <c r="AA25" s="1" t="n">
        <f aca="false">IF(AND($D25,$B25="Sub-Saharan Africa"),$E25,"")</f>
        <v>64.63</v>
      </c>
    </row>
    <row r="26" customFormat="false" ht="15" hidden="false" customHeight="true" outlineLevel="0" collapsed="false">
      <c r="A26" s="1" t="str">
        <f aca="false">CountryMeta!A26</f>
        <v>Pakistan</v>
      </c>
      <c r="B26" s="1" t="str">
        <f aca="false">CountryMeta!C26</f>
        <v>South Asia</v>
      </c>
      <c r="C26" s="1" t="str">
        <f aca="false">CountryMeta!D26</f>
        <v>Lower middle income</v>
      </c>
      <c r="D26" s="20" t="b">
        <f aca="false">AND(OR($B26=T1_Region,T1_Region="All Regions"),OR($C26=T1_Income,T1_Income="All Income Groups"))</f>
        <v>1</v>
      </c>
      <c r="E26" s="1" t="n">
        <f aca="false">SUMIFS(Data!$K:$K,Data!$A:$A,$A26,Data!$C:$C,T1_Year)</f>
        <v>65.31</v>
      </c>
      <c r="F26" s="1" t="n">
        <f aca="false">SUMIFS(Data!$M:$M,Data!$A:$A,$A26,Data!$C:$C,T1_Year)</f>
        <v>1479.48</v>
      </c>
      <c r="G26" s="1" t="n">
        <f aca="false">SUMIFS(Data!$K:$K,Data!$A:$A,$A26,Data!$C:$C,2013)</f>
        <v>68.4</v>
      </c>
      <c r="H26" s="1" t="n">
        <f aca="false">SUMIFS(Data!$K:$K,Data!$A:$A,$A26,Data!$C:$C,2024)</f>
        <v>65.31</v>
      </c>
      <c r="I26" s="1" t="n">
        <f aca="false">H26-G26</f>
        <v>-3.09</v>
      </c>
      <c r="J26" s="1" t="str">
        <f aca="false">IF($E26&gt;65,"High Risk",IF($E26&gt;=40,"Medium Risk","Low Risk"))</f>
        <v>High Risk</v>
      </c>
      <c r="K26" s="1" t="n">
        <f aca="false">IF($D26,$E26,"")</f>
        <v>65.31</v>
      </c>
      <c r="L26" s="1" t="n">
        <f aca="false">IF($D26,$I26,"")</f>
        <v>-3.09</v>
      </c>
      <c r="M26" s="1" t="n">
        <f aca="false">IFERROR(RANK($K26,$K$2:$K$36,0),"")</f>
        <v>3</v>
      </c>
      <c r="N26" s="1" t="str">
        <f aca="false">IF(AND($D26,$B26="East Asia &amp; Pacific"),$F26,"")</f>
        <v/>
      </c>
      <c r="O26" s="1" t="str">
        <f aca="false">IF(AND($D26,$B26="East Asia &amp; Pacific"),$E26,"")</f>
        <v/>
      </c>
      <c r="P26" s="1" t="str">
        <f aca="false">IF(AND($D26,$B26="Europe &amp; Central Asia"),$F26,"")</f>
        <v/>
      </c>
      <c r="Q26" s="1" t="str">
        <f aca="false">IF(AND($D26,$B26="Europe &amp; Central Asia"),$E26,"")</f>
        <v/>
      </c>
      <c r="R26" s="1" t="str">
        <f aca="false">IF(AND($D26,$B26="Latin America &amp; Caribbean"),$F26,"")</f>
        <v/>
      </c>
      <c r="S26" s="1" t="str">
        <f aca="false">IF(AND($D26,$B26="Latin America &amp; Caribbean"),$E26,"")</f>
        <v/>
      </c>
      <c r="T26" s="1" t="str">
        <f aca="false">IF(AND($D26,$B26="Middle East &amp; North Africa"),$F26,"")</f>
        <v/>
      </c>
      <c r="U26" s="1" t="str">
        <f aca="false">IF(AND($D26,$B26="Middle East &amp; North Africa"),$E26,"")</f>
        <v/>
      </c>
      <c r="V26" s="1" t="str">
        <f aca="false">IF(AND($D26,$B26="North America"),$F26,"")</f>
        <v/>
      </c>
      <c r="W26" s="1" t="str">
        <f aca="false">IF(AND($D26,$B26="North America"),$E26,"")</f>
        <v/>
      </c>
      <c r="X26" s="1" t="n">
        <f aca="false">IF(AND($D26,$B26="South Asia"),$F26,"")</f>
        <v>1479.48</v>
      </c>
      <c r="Y26" s="1" t="n">
        <f aca="false">IF(AND($D26,$B26="South Asia"),$E26,"")</f>
        <v>65.31</v>
      </c>
      <c r="Z26" s="1" t="str">
        <f aca="false">IF(AND($D26,$B26="Sub-Saharan Africa"),$F26,"")</f>
        <v/>
      </c>
      <c r="AA26" s="1" t="str">
        <f aca="false">IF(AND($D26,$B26="Sub-Saharan Africa"),$E26,"")</f>
        <v/>
      </c>
    </row>
    <row r="27" customFormat="false" ht="15" hidden="false" customHeight="true" outlineLevel="0" collapsed="false">
      <c r="A27" s="1" t="str">
        <f aca="false">CountryMeta!A27</f>
        <v>Philippines</v>
      </c>
      <c r="B27" s="1" t="str">
        <f aca="false">CountryMeta!C27</f>
        <v>East Asia &amp; Pacific</v>
      </c>
      <c r="C27" s="1" t="str">
        <f aca="false">CountryMeta!D27</f>
        <v>Lower middle income</v>
      </c>
      <c r="D27" s="20" t="b">
        <f aca="false">AND(OR($B27=T1_Region,T1_Region="All Regions"),OR($C27=T1_Income,T1_Income="All Income Groups"))</f>
        <v>1</v>
      </c>
      <c r="E27" s="1" t="n">
        <f aca="false">SUMIFS(Data!$K:$K,Data!$A:$A,$A27,Data!$C:$C,T1_Year)</f>
        <v>51.99</v>
      </c>
      <c r="F27" s="1" t="n">
        <f aca="false">SUMIFS(Data!$M:$M,Data!$A:$A,$A27,Data!$C:$C,T1_Year)</f>
        <v>3985.29</v>
      </c>
      <c r="G27" s="1" t="n">
        <f aca="false">SUMIFS(Data!$K:$K,Data!$A:$A,$A27,Data!$C:$C,2013)</f>
        <v>52.7</v>
      </c>
      <c r="H27" s="1" t="n">
        <f aca="false">SUMIFS(Data!$K:$K,Data!$A:$A,$A27,Data!$C:$C,2024)</f>
        <v>51.99</v>
      </c>
      <c r="I27" s="1" t="n">
        <f aca="false">H27-G27</f>
        <v>-0.710000000000001</v>
      </c>
      <c r="J27" s="1" t="str">
        <f aca="false">IF($E27&gt;65,"High Risk",IF($E27&gt;=40,"Medium Risk","Low Risk"))</f>
        <v>Medium Risk</v>
      </c>
      <c r="K27" s="1" t="n">
        <f aca="false">IF($D27,$E27,"")</f>
        <v>51.99</v>
      </c>
      <c r="L27" s="1" t="n">
        <f aca="false">IF($D27,$I27,"")</f>
        <v>-0.710000000000001</v>
      </c>
      <c r="M27" s="1" t="n">
        <f aca="false">IFERROR(RANK($K27,$K$2:$K$36,0),"")</f>
        <v>12</v>
      </c>
      <c r="N27" s="1" t="n">
        <f aca="false">IF(AND($D27,$B27="East Asia &amp; Pacific"),$F27,"")</f>
        <v>3985.29</v>
      </c>
      <c r="O27" s="1" t="n">
        <f aca="false">IF(AND($D27,$B27="East Asia &amp; Pacific"),$E27,"")</f>
        <v>51.99</v>
      </c>
      <c r="P27" s="1" t="str">
        <f aca="false">IF(AND($D27,$B27="Europe &amp; Central Asia"),$F27,"")</f>
        <v/>
      </c>
      <c r="Q27" s="1" t="str">
        <f aca="false">IF(AND($D27,$B27="Europe &amp; Central Asia"),$E27,"")</f>
        <v/>
      </c>
      <c r="R27" s="1" t="str">
        <f aca="false">IF(AND($D27,$B27="Latin America &amp; Caribbean"),$F27,"")</f>
        <v/>
      </c>
      <c r="S27" s="1" t="str">
        <f aca="false">IF(AND($D27,$B27="Latin America &amp; Caribbean"),$E27,"")</f>
        <v/>
      </c>
      <c r="T27" s="1" t="str">
        <f aca="false">IF(AND($D27,$B27="Middle East &amp; North Africa"),$F27,"")</f>
        <v/>
      </c>
      <c r="U27" s="1" t="str">
        <f aca="false">IF(AND($D27,$B27="Middle East &amp; North Africa"),$E27,"")</f>
        <v/>
      </c>
      <c r="V27" s="1" t="str">
        <f aca="false">IF(AND($D27,$B27="North America"),$F27,"")</f>
        <v/>
      </c>
      <c r="W27" s="1" t="str">
        <f aca="false">IF(AND($D27,$B27="North America"),$E27,"")</f>
        <v/>
      </c>
      <c r="X27" s="1" t="str">
        <f aca="false">IF(AND($D27,$B27="South Asia"),$F27,"")</f>
        <v/>
      </c>
      <c r="Y27" s="1" t="str">
        <f aca="false">IF(AND($D27,$B27="South Asia"),$E27,"")</f>
        <v/>
      </c>
      <c r="Z27" s="1" t="str">
        <f aca="false">IF(AND($D27,$B27="Sub-Saharan Africa"),$F27,"")</f>
        <v/>
      </c>
      <c r="AA27" s="1" t="str">
        <f aca="false">IF(AND($D27,$B27="Sub-Saharan Africa"),$E27,"")</f>
        <v/>
      </c>
    </row>
    <row r="28" customFormat="false" ht="15" hidden="false" customHeight="true" outlineLevel="0" collapsed="false">
      <c r="A28" s="1" t="str">
        <f aca="false">CountryMeta!A28</f>
        <v>Poland</v>
      </c>
      <c r="B28" s="1" t="str">
        <f aca="false">CountryMeta!C28</f>
        <v>Europe &amp; Central Asia</v>
      </c>
      <c r="C28" s="1" t="str">
        <f aca="false">CountryMeta!D28</f>
        <v>High income</v>
      </c>
      <c r="D28" s="20" t="b">
        <f aca="false">AND(OR($B28=T1_Region,T1_Region="All Regions"),OR($C28=T1_Income,T1_Income="All Income Groups"))</f>
        <v>1</v>
      </c>
      <c r="E28" s="1" t="n">
        <f aca="false">SUMIFS(Data!$K:$K,Data!$A:$A,$A28,Data!$C:$C,T1_Year)</f>
        <v>32.27</v>
      </c>
      <c r="F28" s="1" t="n">
        <f aca="false">SUMIFS(Data!$M:$M,Data!$A:$A,$A28,Data!$C:$C,T1_Year)</f>
        <v>25103.57</v>
      </c>
      <c r="G28" s="1" t="n">
        <f aca="false">SUMIFS(Data!$K:$K,Data!$A:$A,$A28,Data!$C:$C,2013)</f>
        <v>28.39</v>
      </c>
      <c r="H28" s="1" t="n">
        <f aca="false">SUMIFS(Data!$K:$K,Data!$A:$A,$A28,Data!$C:$C,2024)</f>
        <v>32.27</v>
      </c>
      <c r="I28" s="1" t="n">
        <f aca="false">H28-G28</f>
        <v>3.88</v>
      </c>
      <c r="J28" s="1" t="str">
        <f aca="false">IF($E28&gt;65,"High Risk",IF($E28&gt;=40,"Medium Risk","Low Risk"))</f>
        <v>Low Risk</v>
      </c>
      <c r="K28" s="1" t="n">
        <f aca="false">IF($D28,$E28,"")</f>
        <v>32.27</v>
      </c>
      <c r="L28" s="1" t="n">
        <f aca="false">IF($D28,$I28,"")</f>
        <v>3.88</v>
      </c>
      <c r="M28" s="1" t="n">
        <f aca="false">IFERROR(RANK($K28,$K$2:$K$36,0),"")</f>
        <v>26</v>
      </c>
      <c r="N28" s="1" t="str">
        <f aca="false">IF(AND($D28,$B28="East Asia &amp; Pacific"),$F28,"")</f>
        <v/>
      </c>
      <c r="O28" s="1" t="str">
        <f aca="false">IF(AND($D28,$B28="East Asia &amp; Pacific"),$E28,"")</f>
        <v/>
      </c>
      <c r="P28" s="1" t="n">
        <f aca="false">IF(AND($D28,$B28="Europe &amp; Central Asia"),$F28,"")</f>
        <v>25103.57</v>
      </c>
      <c r="Q28" s="1" t="n">
        <f aca="false">IF(AND($D28,$B28="Europe &amp; Central Asia"),$E28,"")</f>
        <v>32.27</v>
      </c>
      <c r="R28" s="1" t="str">
        <f aca="false">IF(AND($D28,$B28="Latin America &amp; Caribbean"),$F28,"")</f>
        <v/>
      </c>
      <c r="S28" s="1" t="str">
        <f aca="false">IF(AND($D28,$B28="Latin America &amp; Caribbean"),$E28,"")</f>
        <v/>
      </c>
      <c r="T28" s="1" t="str">
        <f aca="false">IF(AND($D28,$B28="Middle East &amp; North Africa"),$F28,"")</f>
        <v/>
      </c>
      <c r="U28" s="1" t="str">
        <f aca="false">IF(AND($D28,$B28="Middle East &amp; North Africa"),$E28,"")</f>
        <v/>
      </c>
      <c r="V28" s="1" t="str">
        <f aca="false">IF(AND($D28,$B28="North America"),$F28,"")</f>
        <v/>
      </c>
      <c r="W28" s="1" t="str">
        <f aca="false">IF(AND($D28,$B28="North America"),$E28,"")</f>
        <v/>
      </c>
      <c r="X28" s="1" t="str">
        <f aca="false">IF(AND($D28,$B28="South Asia"),$F28,"")</f>
        <v/>
      </c>
      <c r="Y28" s="1" t="str">
        <f aca="false">IF(AND($D28,$B28="South Asia"),$E28,"")</f>
        <v/>
      </c>
      <c r="Z28" s="1" t="str">
        <f aca="false">IF(AND($D28,$B28="Sub-Saharan Africa"),$F28,"")</f>
        <v/>
      </c>
      <c r="AA28" s="1" t="str">
        <f aca="false">IF(AND($D28,$B28="Sub-Saharan Africa"),$E28,"")</f>
        <v/>
      </c>
    </row>
    <row r="29" customFormat="false" ht="15" hidden="false" customHeight="true" outlineLevel="0" collapsed="false">
      <c r="A29" s="1" t="str">
        <f aca="false">CountryMeta!A29</f>
        <v>Russian Federation</v>
      </c>
      <c r="B29" s="1" t="str">
        <f aca="false">CountryMeta!C29</f>
        <v>Europe &amp; Central Asia</v>
      </c>
      <c r="C29" s="1" t="str">
        <f aca="false">CountryMeta!D29</f>
        <v>Upper middle income</v>
      </c>
      <c r="D29" s="20" t="b">
        <f aca="false">AND(OR($B29=T1_Region,T1_Region="All Regions"),OR($C29=T1_Income,T1_Income="All Income Groups"))</f>
        <v>1</v>
      </c>
      <c r="E29" s="1" t="n">
        <f aca="false">SUMIFS(Data!$K:$K,Data!$A:$A,$A29,Data!$C:$C,T1_Year)</f>
        <v>61.16</v>
      </c>
      <c r="F29" s="1" t="n">
        <f aca="false">SUMIFS(Data!$M:$M,Data!$A:$A,$A29,Data!$C:$C,T1_Year)</f>
        <v>14961.9</v>
      </c>
      <c r="G29" s="1" t="n">
        <f aca="false">SUMIFS(Data!$K:$K,Data!$A:$A,$A29,Data!$C:$C,2013)</f>
        <v>57.75</v>
      </c>
      <c r="H29" s="1" t="n">
        <f aca="false">SUMIFS(Data!$K:$K,Data!$A:$A,$A29,Data!$C:$C,2024)</f>
        <v>61.16</v>
      </c>
      <c r="I29" s="1" t="n">
        <f aca="false">H29-G29</f>
        <v>3.41</v>
      </c>
      <c r="J29" s="1" t="str">
        <f aca="false">IF($E29&gt;65,"High Risk",IF($E29&gt;=40,"Medium Risk","Low Risk"))</f>
        <v>Medium Risk</v>
      </c>
      <c r="K29" s="1" t="n">
        <f aca="false">IF($D29,$E29,"")</f>
        <v>61.16</v>
      </c>
      <c r="L29" s="1" t="n">
        <f aca="false">IF($D29,$I29,"")</f>
        <v>3.41</v>
      </c>
      <c r="M29" s="1" t="n">
        <f aca="false">IFERROR(RANK($K29,$K$2:$K$36,0),"")</f>
        <v>7</v>
      </c>
      <c r="N29" s="1" t="str">
        <f aca="false">IF(AND($D29,$B29="East Asia &amp; Pacific"),$F29,"")</f>
        <v/>
      </c>
      <c r="O29" s="1" t="str">
        <f aca="false">IF(AND($D29,$B29="East Asia &amp; Pacific"),$E29,"")</f>
        <v/>
      </c>
      <c r="P29" s="1" t="n">
        <f aca="false">IF(AND($D29,$B29="Europe &amp; Central Asia"),$F29,"")</f>
        <v>14961.9</v>
      </c>
      <c r="Q29" s="1" t="n">
        <f aca="false">IF(AND($D29,$B29="Europe &amp; Central Asia"),$E29,"")</f>
        <v>61.16</v>
      </c>
      <c r="R29" s="1" t="str">
        <f aca="false">IF(AND($D29,$B29="Latin America &amp; Caribbean"),$F29,"")</f>
        <v/>
      </c>
      <c r="S29" s="1" t="str">
        <f aca="false">IF(AND($D29,$B29="Latin America &amp; Caribbean"),$E29,"")</f>
        <v/>
      </c>
      <c r="T29" s="1" t="str">
        <f aca="false">IF(AND($D29,$B29="Middle East &amp; North Africa"),$F29,"")</f>
        <v/>
      </c>
      <c r="U29" s="1" t="str">
        <f aca="false">IF(AND($D29,$B29="Middle East &amp; North Africa"),$E29,"")</f>
        <v/>
      </c>
      <c r="V29" s="1" t="str">
        <f aca="false">IF(AND($D29,$B29="North America"),$F29,"")</f>
        <v/>
      </c>
      <c r="W29" s="1" t="str">
        <f aca="false">IF(AND($D29,$B29="North America"),$E29,"")</f>
        <v/>
      </c>
      <c r="X29" s="1" t="str">
        <f aca="false">IF(AND($D29,$B29="South Asia"),$F29,"")</f>
        <v/>
      </c>
      <c r="Y29" s="1" t="str">
        <f aca="false">IF(AND($D29,$B29="South Asia"),$E29,"")</f>
        <v/>
      </c>
      <c r="Z29" s="1" t="str">
        <f aca="false">IF(AND($D29,$B29="Sub-Saharan Africa"),$F29,"")</f>
        <v/>
      </c>
      <c r="AA29" s="1" t="str">
        <f aca="false">IF(AND($D29,$B29="Sub-Saharan Africa"),$E29,"")</f>
        <v/>
      </c>
    </row>
    <row r="30" customFormat="false" ht="15" hidden="false" customHeight="true" outlineLevel="0" collapsed="false">
      <c r="A30" s="1" t="str">
        <f aca="false">CountryMeta!A30</f>
        <v>Saudi Arabia</v>
      </c>
      <c r="B30" s="1" t="str">
        <f aca="false">CountryMeta!C30</f>
        <v>Middle East &amp; North Africa</v>
      </c>
      <c r="C30" s="1" t="str">
        <f aca="false">CountryMeta!D30</f>
        <v>High income</v>
      </c>
      <c r="D30" s="20" t="b">
        <f aca="false">AND(OR($B30=T1_Region,T1_Region="All Regions"),OR($C30=T1_Income,T1_Income="All Income Groups"))</f>
        <v>1</v>
      </c>
      <c r="E30" s="1" t="n">
        <f aca="false">SUMIFS(Data!$K:$K,Data!$A:$A,$A30,Data!$C:$C,T1_Year)</f>
        <v>36.3</v>
      </c>
      <c r="F30" s="1" t="n">
        <f aca="false">SUMIFS(Data!$M:$M,Data!$A:$A,$A30,Data!$C:$C,T1_Year)</f>
        <v>35527.79</v>
      </c>
      <c r="G30" s="1" t="n">
        <f aca="false">SUMIFS(Data!$K:$K,Data!$A:$A,$A30,Data!$C:$C,2013)</f>
        <v>47.12</v>
      </c>
      <c r="H30" s="1" t="n">
        <f aca="false">SUMIFS(Data!$K:$K,Data!$A:$A,$A30,Data!$C:$C,2024)</f>
        <v>36.3</v>
      </c>
      <c r="I30" s="1" t="n">
        <f aca="false">H30-G30</f>
        <v>-10.82</v>
      </c>
      <c r="J30" s="1" t="str">
        <f aca="false">IF($E30&gt;65,"High Risk",IF($E30&gt;=40,"Medium Risk","Low Risk"))</f>
        <v>Low Risk</v>
      </c>
      <c r="K30" s="1" t="n">
        <f aca="false">IF($D30,$E30,"")</f>
        <v>36.3</v>
      </c>
      <c r="L30" s="1" t="n">
        <f aca="false">IF($D30,$I30,"")</f>
        <v>-10.82</v>
      </c>
      <c r="M30" s="1" t="n">
        <f aca="false">IFERROR(RANK($K30,$K$2:$K$36,0),"")</f>
        <v>24</v>
      </c>
      <c r="N30" s="1" t="str">
        <f aca="false">IF(AND($D30,$B30="East Asia &amp; Pacific"),$F30,"")</f>
        <v/>
      </c>
      <c r="O30" s="1" t="str">
        <f aca="false">IF(AND($D30,$B30="East Asia &amp; Pacific"),$E30,"")</f>
        <v/>
      </c>
      <c r="P30" s="1" t="str">
        <f aca="false">IF(AND($D30,$B30="Europe &amp; Central Asia"),$F30,"")</f>
        <v/>
      </c>
      <c r="Q30" s="1" t="str">
        <f aca="false">IF(AND($D30,$B30="Europe &amp; Central Asia"),$E30,"")</f>
        <v/>
      </c>
      <c r="R30" s="1" t="str">
        <f aca="false">IF(AND($D30,$B30="Latin America &amp; Caribbean"),$F30,"")</f>
        <v/>
      </c>
      <c r="S30" s="1" t="str">
        <f aca="false">IF(AND($D30,$B30="Latin America &amp; Caribbean"),$E30,"")</f>
        <v/>
      </c>
      <c r="T30" s="1" t="n">
        <f aca="false">IF(AND($D30,$B30="Middle East &amp; North Africa"),$F30,"")</f>
        <v>35527.79</v>
      </c>
      <c r="U30" s="1" t="n">
        <f aca="false">IF(AND($D30,$B30="Middle East &amp; North Africa"),$E30,"")</f>
        <v>36.3</v>
      </c>
      <c r="V30" s="1" t="str">
        <f aca="false">IF(AND($D30,$B30="North America"),$F30,"")</f>
        <v/>
      </c>
      <c r="W30" s="1" t="str">
        <f aca="false">IF(AND($D30,$B30="North America"),$E30,"")</f>
        <v/>
      </c>
      <c r="X30" s="1" t="str">
        <f aca="false">IF(AND($D30,$B30="South Asia"),$F30,"")</f>
        <v/>
      </c>
      <c r="Y30" s="1" t="str">
        <f aca="false">IF(AND($D30,$B30="South Asia"),$E30,"")</f>
        <v/>
      </c>
      <c r="Z30" s="1" t="str">
        <f aca="false">IF(AND($D30,$B30="Sub-Saharan Africa"),$F30,"")</f>
        <v/>
      </c>
      <c r="AA30" s="1" t="str">
        <f aca="false">IF(AND($D30,$B30="Sub-Saharan Africa"),$E30,"")</f>
        <v/>
      </c>
    </row>
    <row r="31" customFormat="false" ht="15" hidden="false" customHeight="true" outlineLevel="0" collapsed="false">
      <c r="A31" s="1" t="str">
        <f aca="false">CountryMeta!A31</f>
        <v>South Africa</v>
      </c>
      <c r="B31" s="1" t="str">
        <f aca="false">CountryMeta!C31</f>
        <v>Sub-Saharan Africa</v>
      </c>
      <c r="C31" s="1" t="str">
        <f aca="false">CountryMeta!D31</f>
        <v>Upper middle income</v>
      </c>
      <c r="D31" s="20" t="b">
        <f aca="false">AND(OR($B31=T1_Region,T1_Region="All Regions"),OR($C31=T1_Income,T1_Income="All Income Groups"))</f>
        <v>1</v>
      </c>
      <c r="E31" s="1" t="n">
        <f aca="false">SUMIFS(Data!$K:$K,Data!$A:$A,$A31,Data!$C:$C,T1_Year)</f>
        <v>47.37</v>
      </c>
      <c r="F31" s="1" t="n">
        <f aca="false">SUMIFS(Data!$M:$M,Data!$A:$A,$A31,Data!$C:$C,T1_Year)</f>
        <v>6267.19</v>
      </c>
      <c r="G31" s="1" t="n">
        <f aca="false">SUMIFS(Data!$K:$K,Data!$A:$A,$A31,Data!$C:$C,2013)</f>
        <v>42.31</v>
      </c>
      <c r="H31" s="1" t="n">
        <f aca="false">SUMIFS(Data!$K:$K,Data!$A:$A,$A31,Data!$C:$C,2024)</f>
        <v>47.37</v>
      </c>
      <c r="I31" s="1" t="n">
        <f aca="false">H31-G31</f>
        <v>5.06</v>
      </c>
      <c r="J31" s="1" t="str">
        <f aca="false">IF($E31&gt;65,"High Risk",IF($E31&gt;=40,"Medium Risk","Low Risk"))</f>
        <v>Medium Risk</v>
      </c>
      <c r="K31" s="1" t="n">
        <f aca="false">IF($D31,$E31,"")</f>
        <v>47.37</v>
      </c>
      <c r="L31" s="1" t="n">
        <f aca="false">IF($D31,$I31,"")</f>
        <v>5.06</v>
      </c>
      <c r="M31" s="1" t="n">
        <f aca="false">IFERROR(RANK($K31,$K$2:$K$36,0),"")</f>
        <v>19</v>
      </c>
      <c r="N31" s="1" t="str">
        <f aca="false">IF(AND($D31,$B31="East Asia &amp; Pacific"),$F31,"")</f>
        <v/>
      </c>
      <c r="O31" s="1" t="str">
        <f aca="false">IF(AND($D31,$B31="East Asia &amp; Pacific"),$E31,"")</f>
        <v/>
      </c>
      <c r="P31" s="1" t="str">
        <f aca="false">IF(AND($D31,$B31="Europe &amp; Central Asia"),$F31,"")</f>
        <v/>
      </c>
      <c r="Q31" s="1" t="str">
        <f aca="false">IF(AND($D31,$B31="Europe &amp; Central Asia"),$E31,"")</f>
        <v/>
      </c>
      <c r="R31" s="1" t="str">
        <f aca="false">IF(AND($D31,$B31="Latin America &amp; Caribbean"),$F31,"")</f>
        <v/>
      </c>
      <c r="S31" s="1" t="str">
        <f aca="false">IF(AND($D31,$B31="Latin America &amp; Caribbean"),$E31,"")</f>
        <v/>
      </c>
      <c r="T31" s="1" t="str">
        <f aca="false">IF(AND($D31,$B31="Middle East &amp; North Africa"),$F31,"")</f>
        <v/>
      </c>
      <c r="U31" s="1" t="str">
        <f aca="false">IF(AND($D31,$B31="Middle East &amp; North Africa"),$E31,"")</f>
        <v/>
      </c>
      <c r="V31" s="1" t="str">
        <f aca="false">IF(AND($D31,$B31="North America"),$F31,"")</f>
        <v/>
      </c>
      <c r="W31" s="1" t="str">
        <f aca="false">IF(AND($D31,$B31="North America"),$E31,"")</f>
        <v/>
      </c>
      <c r="X31" s="1" t="str">
        <f aca="false">IF(AND($D31,$B31="South Asia"),$F31,"")</f>
        <v/>
      </c>
      <c r="Y31" s="1" t="str">
        <f aca="false">IF(AND($D31,$B31="South Asia"),$E31,"")</f>
        <v/>
      </c>
      <c r="Z31" s="1" t="n">
        <f aca="false">IF(AND($D31,$B31="Sub-Saharan Africa"),$F31,"")</f>
        <v>6267.19</v>
      </c>
      <c r="AA31" s="1" t="n">
        <f aca="false">IF(AND($D31,$B31="Sub-Saharan Africa"),$E31,"")</f>
        <v>47.37</v>
      </c>
    </row>
    <row r="32" customFormat="false" ht="15" hidden="false" customHeight="true" outlineLevel="0" collapsed="false">
      <c r="A32" s="1" t="str">
        <f aca="false">CountryMeta!A32</f>
        <v>Sri Lanka</v>
      </c>
      <c r="B32" s="1" t="str">
        <f aca="false">CountryMeta!C32</f>
        <v>South Asia</v>
      </c>
      <c r="C32" s="1" t="str">
        <f aca="false">CountryMeta!D32</f>
        <v>Lower middle income</v>
      </c>
      <c r="D32" s="20" t="b">
        <f aca="false">AND(OR($B32=T1_Region,T1_Region="All Regions"),OR($C32=T1_Income,T1_Income="All Income Groups"))</f>
        <v>1</v>
      </c>
      <c r="E32" s="1" t="n">
        <f aca="false">SUMIFS(Data!$K:$K,Data!$A:$A,$A32,Data!$C:$C,T1_Year)</f>
        <v>49.34</v>
      </c>
      <c r="F32" s="1" t="n">
        <f aca="false">SUMIFS(Data!$M:$M,Data!$A:$A,$A32,Data!$C:$C,T1_Year)</f>
        <v>4545.36</v>
      </c>
      <c r="G32" s="1" t="n">
        <f aca="false">SUMIFS(Data!$K:$K,Data!$A:$A,$A32,Data!$C:$C,2013)</f>
        <v>50.68</v>
      </c>
      <c r="H32" s="1" t="n">
        <f aca="false">SUMIFS(Data!$K:$K,Data!$A:$A,$A32,Data!$C:$C,2024)</f>
        <v>49.34</v>
      </c>
      <c r="I32" s="1" t="n">
        <f aca="false">H32-G32</f>
        <v>-1.34</v>
      </c>
      <c r="J32" s="1" t="str">
        <f aca="false">IF($E32&gt;65,"High Risk",IF($E32&gt;=40,"Medium Risk","Low Risk"))</f>
        <v>Medium Risk</v>
      </c>
      <c r="K32" s="1" t="n">
        <f aca="false">IF($D32,$E32,"")</f>
        <v>49.34</v>
      </c>
      <c r="L32" s="1" t="n">
        <f aca="false">IF($D32,$I32,"")</f>
        <v>-1.34</v>
      </c>
      <c r="M32" s="1" t="n">
        <f aca="false">IFERROR(RANK($K32,$K$2:$K$36,0),"")</f>
        <v>16</v>
      </c>
      <c r="N32" s="1" t="str">
        <f aca="false">IF(AND($D32,$B32="East Asia &amp; Pacific"),$F32,"")</f>
        <v/>
      </c>
      <c r="O32" s="1" t="str">
        <f aca="false">IF(AND($D32,$B32="East Asia &amp; Pacific"),$E32,"")</f>
        <v/>
      </c>
      <c r="P32" s="1" t="str">
        <f aca="false">IF(AND($D32,$B32="Europe &amp; Central Asia"),$F32,"")</f>
        <v/>
      </c>
      <c r="Q32" s="1" t="str">
        <f aca="false">IF(AND($D32,$B32="Europe &amp; Central Asia"),$E32,"")</f>
        <v/>
      </c>
      <c r="R32" s="1" t="str">
        <f aca="false">IF(AND($D32,$B32="Latin America &amp; Caribbean"),$F32,"")</f>
        <v/>
      </c>
      <c r="S32" s="1" t="str">
        <f aca="false">IF(AND($D32,$B32="Latin America &amp; Caribbean"),$E32,"")</f>
        <v/>
      </c>
      <c r="T32" s="1" t="str">
        <f aca="false">IF(AND($D32,$B32="Middle East &amp; North Africa"),$F32,"")</f>
        <v/>
      </c>
      <c r="U32" s="1" t="str">
        <f aca="false">IF(AND($D32,$B32="Middle East &amp; North Africa"),$E32,"")</f>
        <v/>
      </c>
      <c r="V32" s="1" t="str">
        <f aca="false">IF(AND($D32,$B32="North America"),$F32,"")</f>
        <v/>
      </c>
      <c r="W32" s="1" t="str">
        <f aca="false">IF(AND($D32,$B32="North America"),$E32,"")</f>
        <v/>
      </c>
      <c r="X32" s="1" t="n">
        <f aca="false">IF(AND($D32,$B32="South Asia"),$F32,"")</f>
        <v>4545.36</v>
      </c>
      <c r="Y32" s="1" t="n">
        <f aca="false">IF(AND($D32,$B32="South Asia"),$E32,"")</f>
        <v>49.34</v>
      </c>
      <c r="Z32" s="1" t="str">
        <f aca="false">IF(AND($D32,$B32="Sub-Saharan Africa"),$F32,"")</f>
        <v/>
      </c>
      <c r="AA32" s="1" t="str">
        <f aca="false">IF(AND($D32,$B32="Sub-Saharan Africa"),$E32,"")</f>
        <v/>
      </c>
    </row>
    <row r="33" customFormat="false" ht="15" hidden="false" customHeight="true" outlineLevel="0" collapsed="false">
      <c r="A33" s="1" t="str">
        <f aca="false">CountryMeta!A33</f>
        <v>Turkiye</v>
      </c>
      <c r="B33" s="1" t="str">
        <f aca="false">CountryMeta!C33</f>
        <v>Europe &amp; Central Asia</v>
      </c>
      <c r="C33" s="1" t="str">
        <f aca="false">CountryMeta!D33</f>
        <v>Upper middle income</v>
      </c>
      <c r="D33" s="20" t="b">
        <f aca="false">AND(OR($B33=T1_Region,T1_Region="All Regions"),OR($C33=T1_Income,T1_Income="All Income Groups"))</f>
        <v>1</v>
      </c>
      <c r="E33" s="1" t="n">
        <f aca="false">SUMIFS(Data!$K:$K,Data!$A:$A,$A33,Data!$C:$C,T1_Year)</f>
        <v>55.06</v>
      </c>
      <c r="F33" s="1" t="n">
        <f aca="false">SUMIFS(Data!$M:$M,Data!$A:$A,$A33,Data!$C:$C,T1_Year)</f>
        <v>15892.72</v>
      </c>
      <c r="G33" s="1" t="n">
        <f aca="false">SUMIFS(Data!$K:$K,Data!$A:$A,$A33,Data!$C:$C,2013)</f>
        <v>45.91</v>
      </c>
      <c r="H33" s="1" t="n">
        <f aca="false">SUMIFS(Data!$K:$K,Data!$A:$A,$A33,Data!$C:$C,2024)</f>
        <v>55.06</v>
      </c>
      <c r="I33" s="1" t="n">
        <f aca="false">H33-G33</f>
        <v>9.15000000000001</v>
      </c>
      <c r="J33" s="1" t="str">
        <f aca="false">IF($E33&gt;65,"High Risk",IF($E33&gt;=40,"Medium Risk","Low Risk"))</f>
        <v>Medium Risk</v>
      </c>
      <c r="K33" s="1" t="n">
        <f aca="false">IF($D33,$E33,"")</f>
        <v>55.06</v>
      </c>
      <c r="L33" s="1" t="n">
        <f aca="false">IF($D33,$I33,"")</f>
        <v>9.15000000000001</v>
      </c>
      <c r="M33" s="1" t="n">
        <f aca="false">IFERROR(RANK($K33,$K$2:$K$36,0),"")</f>
        <v>11</v>
      </c>
      <c r="N33" s="1" t="str">
        <f aca="false">IF(AND($D33,$B33="East Asia &amp; Pacific"),$F33,"")</f>
        <v/>
      </c>
      <c r="O33" s="1" t="str">
        <f aca="false">IF(AND($D33,$B33="East Asia &amp; Pacific"),$E33,"")</f>
        <v/>
      </c>
      <c r="P33" s="1" t="n">
        <f aca="false">IF(AND($D33,$B33="Europe &amp; Central Asia"),$F33,"")</f>
        <v>15892.72</v>
      </c>
      <c r="Q33" s="1" t="n">
        <f aca="false">IF(AND($D33,$B33="Europe &amp; Central Asia"),$E33,"")</f>
        <v>55.06</v>
      </c>
      <c r="R33" s="1" t="str">
        <f aca="false">IF(AND($D33,$B33="Latin America &amp; Caribbean"),$F33,"")</f>
        <v/>
      </c>
      <c r="S33" s="1" t="str">
        <f aca="false">IF(AND($D33,$B33="Latin America &amp; Caribbean"),$E33,"")</f>
        <v/>
      </c>
      <c r="T33" s="1" t="str">
        <f aca="false">IF(AND($D33,$B33="Middle East &amp; North Africa"),$F33,"")</f>
        <v/>
      </c>
      <c r="U33" s="1" t="str">
        <f aca="false">IF(AND($D33,$B33="Middle East &amp; North Africa"),$E33,"")</f>
        <v/>
      </c>
      <c r="V33" s="1" t="str">
        <f aca="false">IF(AND($D33,$B33="North America"),$F33,"")</f>
        <v/>
      </c>
      <c r="W33" s="1" t="str">
        <f aca="false">IF(AND($D33,$B33="North America"),$E33,"")</f>
        <v/>
      </c>
      <c r="X33" s="1" t="str">
        <f aca="false">IF(AND($D33,$B33="South Asia"),$F33,"")</f>
        <v/>
      </c>
      <c r="Y33" s="1" t="str">
        <f aca="false">IF(AND($D33,$B33="South Asia"),$E33,"")</f>
        <v/>
      </c>
      <c r="Z33" s="1" t="str">
        <f aca="false">IF(AND($D33,$B33="Sub-Saharan Africa"),$F33,"")</f>
        <v/>
      </c>
      <c r="AA33" s="1" t="str">
        <f aca="false">IF(AND($D33,$B33="Sub-Saharan Africa"),$E33,"")</f>
        <v/>
      </c>
    </row>
    <row r="34" customFormat="false" ht="15" hidden="false" customHeight="true" outlineLevel="0" collapsed="false">
      <c r="A34" s="1" t="str">
        <f aca="false">CountryMeta!A34</f>
        <v>United Arab Emirates</v>
      </c>
      <c r="B34" s="1" t="str">
        <f aca="false">CountryMeta!C34</f>
        <v>Middle East &amp; North Africa</v>
      </c>
      <c r="C34" s="1" t="str">
        <f aca="false">CountryMeta!D34</f>
        <v>High income</v>
      </c>
      <c r="D34" s="20" t="b">
        <f aca="false">AND(OR($B34=T1_Region,T1_Region="All Regions"),OR($C34=T1_Income,T1_Income="All Income Groups"))</f>
        <v>1</v>
      </c>
      <c r="E34" s="1" t="n">
        <f aca="false">SUMIFS(Data!$K:$K,Data!$A:$A,$A34,Data!$C:$C,T1_Year)</f>
        <v>27.74</v>
      </c>
      <c r="F34" s="1" t="n">
        <f aca="false">SUMIFS(Data!$M:$M,Data!$A:$A,$A34,Data!$C:$C,T1_Year)</f>
        <v>50273.51</v>
      </c>
      <c r="G34" s="1" t="n">
        <f aca="false">SUMIFS(Data!$K:$K,Data!$A:$A,$A34,Data!$C:$C,2013)</f>
        <v>28.79</v>
      </c>
      <c r="H34" s="1" t="n">
        <f aca="false">SUMIFS(Data!$K:$K,Data!$A:$A,$A34,Data!$C:$C,2024)</f>
        <v>27.74</v>
      </c>
      <c r="I34" s="1" t="n">
        <f aca="false">H34-G34</f>
        <v>-1.05</v>
      </c>
      <c r="J34" s="1" t="str">
        <f aca="false">IF($E34&gt;65,"High Risk",IF($E34&gt;=40,"Medium Risk","Low Risk"))</f>
        <v>Low Risk</v>
      </c>
      <c r="K34" s="1" t="n">
        <f aca="false">IF($D34,$E34,"")</f>
        <v>27.74</v>
      </c>
      <c r="L34" s="1" t="n">
        <f aca="false">IF($D34,$I34,"")</f>
        <v>-1.05</v>
      </c>
      <c r="M34" s="1" t="n">
        <f aca="false">IFERROR(RANK($K34,$K$2:$K$36,0),"")</f>
        <v>30</v>
      </c>
      <c r="N34" s="1" t="str">
        <f aca="false">IF(AND($D34,$B34="East Asia &amp; Pacific"),$F34,"")</f>
        <v/>
      </c>
      <c r="O34" s="1" t="str">
        <f aca="false">IF(AND($D34,$B34="East Asia &amp; Pacific"),$E34,"")</f>
        <v/>
      </c>
      <c r="P34" s="1" t="str">
        <f aca="false">IF(AND($D34,$B34="Europe &amp; Central Asia"),$F34,"")</f>
        <v/>
      </c>
      <c r="Q34" s="1" t="str">
        <f aca="false">IF(AND($D34,$B34="Europe &amp; Central Asia"),$E34,"")</f>
        <v/>
      </c>
      <c r="R34" s="1" t="str">
        <f aca="false">IF(AND($D34,$B34="Latin America &amp; Caribbean"),$F34,"")</f>
        <v/>
      </c>
      <c r="S34" s="1" t="str">
        <f aca="false">IF(AND($D34,$B34="Latin America &amp; Caribbean"),$E34,"")</f>
        <v/>
      </c>
      <c r="T34" s="1" t="n">
        <f aca="false">IF(AND($D34,$B34="Middle East &amp; North Africa"),$F34,"")</f>
        <v>50273.51</v>
      </c>
      <c r="U34" s="1" t="n">
        <f aca="false">IF(AND($D34,$B34="Middle East &amp; North Africa"),$E34,"")</f>
        <v>27.74</v>
      </c>
      <c r="V34" s="1" t="str">
        <f aca="false">IF(AND($D34,$B34="North America"),$F34,"")</f>
        <v/>
      </c>
      <c r="W34" s="1" t="str">
        <f aca="false">IF(AND($D34,$B34="North America"),$E34,"")</f>
        <v/>
      </c>
      <c r="X34" s="1" t="str">
        <f aca="false">IF(AND($D34,$B34="South Asia"),$F34,"")</f>
        <v/>
      </c>
      <c r="Y34" s="1" t="str">
        <f aca="false">IF(AND($D34,$B34="South Asia"),$E34,"")</f>
        <v/>
      </c>
      <c r="Z34" s="1" t="str">
        <f aca="false">IF(AND($D34,$B34="Sub-Saharan Africa"),$F34,"")</f>
        <v/>
      </c>
      <c r="AA34" s="1" t="str">
        <f aca="false">IF(AND($D34,$B34="Sub-Saharan Africa"),$E34,"")</f>
        <v/>
      </c>
    </row>
    <row r="35" customFormat="false" ht="15" hidden="false" customHeight="true" outlineLevel="0" collapsed="false">
      <c r="A35" s="1" t="str">
        <f aca="false">CountryMeta!A35</f>
        <v>United Kingdom</v>
      </c>
      <c r="B35" s="1" t="str">
        <f aca="false">CountryMeta!C35</f>
        <v>Europe &amp; Central Asia</v>
      </c>
      <c r="C35" s="1" t="str">
        <f aca="false">CountryMeta!D35</f>
        <v>High income</v>
      </c>
      <c r="D35" s="20" t="b">
        <f aca="false">AND(OR($B35=T1_Region,T1_Region="All Regions"),OR($C35=T1_Income,T1_Income="All Income Groups"))</f>
        <v>1</v>
      </c>
      <c r="E35" s="1" t="n">
        <f aca="false">SUMIFS(Data!$K:$K,Data!$A:$A,$A35,Data!$C:$C,T1_Year)</f>
        <v>23.44</v>
      </c>
      <c r="F35" s="1" t="n">
        <f aca="false">SUMIFS(Data!$M:$M,Data!$A:$A,$A35,Data!$C:$C,T1_Year)</f>
        <v>53341.31</v>
      </c>
      <c r="G35" s="1" t="n">
        <f aca="false">SUMIFS(Data!$K:$K,Data!$A:$A,$A35,Data!$C:$C,2013)</f>
        <v>20.72</v>
      </c>
      <c r="H35" s="1" t="n">
        <f aca="false">SUMIFS(Data!$K:$K,Data!$A:$A,$A35,Data!$C:$C,2024)</f>
        <v>23.44</v>
      </c>
      <c r="I35" s="1" t="n">
        <f aca="false">H35-G35</f>
        <v>2.72</v>
      </c>
      <c r="J35" s="1" t="str">
        <f aca="false">IF($E35&gt;65,"High Risk",IF($E35&gt;=40,"Medium Risk","Low Risk"))</f>
        <v>Low Risk</v>
      </c>
      <c r="K35" s="1" t="n">
        <f aca="false">IF($D35,$E35,"")</f>
        <v>23.44</v>
      </c>
      <c r="L35" s="1" t="n">
        <f aca="false">IF($D35,$I35,"")</f>
        <v>2.72</v>
      </c>
      <c r="M35" s="1" t="n">
        <f aca="false">IFERROR(RANK($K35,$K$2:$K$36,0),"")</f>
        <v>31</v>
      </c>
      <c r="N35" s="1" t="str">
        <f aca="false">IF(AND($D35,$B35="East Asia &amp; Pacific"),$F35,"")</f>
        <v/>
      </c>
      <c r="O35" s="1" t="str">
        <f aca="false">IF(AND($D35,$B35="East Asia &amp; Pacific"),$E35,"")</f>
        <v/>
      </c>
      <c r="P35" s="1" t="n">
        <f aca="false">IF(AND($D35,$B35="Europe &amp; Central Asia"),$F35,"")</f>
        <v>53341.31</v>
      </c>
      <c r="Q35" s="1" t="n">
        <f aca="false">IF(AND($D35,$B35="Europe &amp; Central Asia"),$E35,"")</f>
        <v>23.44</v>
      </c>
      <c r="R35" s="1" t="str">
        <f aca="false">IF(AND($D35,$B35="Latin America &amp; Caribbean"),$F35,"")</f>
        <v/>
      </c>
      <c r="S35" s="1" t="str">
        <f aca="false">IF(AND($D35,$B35="Latin America &amp; Caribbean"),$E35,"")</f>
        <v/>
      </c>
      <c r="T35" s="1" t="str">
        <f aca="false">IF(AND($D35,$B35="Middle East &amp; North Africa"),$F35,"")</f>
        <v/>
      </c>
      <c r="U35" s="1" t="str">
        <f aca="false">IF(AND($D35,$B35="Middle East &amp; North Africa"),$E35,"")</f>
        <v/>
      </c>
      <c r="V35" s="1" t="str">
        <f aca="false">IF(AND($D35,$B35="North America"),$F35,"")</f>
        <v/>
      </c>
      <c r="W35" s="1" t="str">
        <f aca="false">IF(AND($D35,$B35="North America"),$E35,"")</f>
        <v/>
      </c>
      <c r="X35" s="1" t="str">
        <f aca="false">IF(AND($D35,$B35="South Asia"),$F35,"")</f>
        <v/>
      </c>
      <c r="Y35" s="1" t="str">
        <f aca="false">IF(AND($D35,$B35="South Asia"),$E35,"")</f>
        <v/>
      </c>
      <c r="Z35" s="1" t="str">
        <f aca="false">IF(AND($D35,$B35="Sub-Saharan Africa"),$F35,"")</f>
        <v/>
      </c>
      <c r="AA35" s="1" t="str">
        <f aca="false">IF(AND($D35,$B35="Sub-Saharan Africa"),$E35,"")</f>
        <v/>
      </c>
    </row>
    <row r="36" customFormat="false" ht="15" hidden="false" customHeight="true" outlineLevel="0" collapsed="false">
      <c r="A36" s="1" t="str">
        <f aca="false">CountryMeta!A36</f>
        <v>United States</v>
      </c>
      <c r="B36" s="1" t="str">
        <f aca="false">CountryMeta!C36</f>
        <v>North America</v>
      </c>
      <c r="C36" s="1" t="str">
        <f aca="false">CountryMeta!D36</f>
        <v>High income</v>
      </c>
      <c r="D36" s="20" t="b">
        <f aca="false">AND(OR($B36=T1_Region,T1_Region="All Regions"),OR($C36=T1_Income,T1_Income="All Income Groups"))</f>
        <v>1</v>
      </c>
      <c r="E36" s="1" t="n">
        <f aca="false">SUMIFS(Data!$K:$K,Data!$A:$A,$A36,Data!$C:$C,T1_Year)</f>
        <v>29.04</v>
      </c>
      <c r="F36" s="1" t="n">
        <f aca="false">SUMIFS(Data!$M:$M,Data!$A:$A,$A36,Data!$C:$C,T1_Year)</f>
        <v>86169.66</v>
      </c>
      <c r="G36" s="1" t="n">
        <f aca="false">SUMIFS(Data!$K:$K,Data!$A:$A,$A36,Data!$C:$C,2013)</f>
        <v>24.07</v>
      </c>
      <c r="H36" s="1" t="n">
        <f aca="false">SUMIFS(Data!$K:$K,Data!$A:$A,$A36,Data!$C:$C,2024)</f>
        <v>29.04</v>
      </c>
      <c r="I36" s="1" t="n">
        <f aca="false">H36-G36</f>
        <v>4.97</v>
      </c>
      <c r="J36" s="1" t="str">
        <f aca="false">IF($E36&gt;65,"High Risk",IF($E36&gt;=40,"Medium Risk","Low Risk"))</f>
        <v>Low Risk</v>
      </c>
      <c r="K36" s="1" t="n">
        <f aca="false">IF($D36,$E36,"")</f>
        <v>29.04</v>
      </c>
      <c r="L36" s="1" t="n">
        <f aca="false">IF($D36,$I36,"")</f>
        <v>4.97</v>
      </c>
      <c r="M36" s="1" t="n">
        <f aca="false">IFERROR(RANK($K36,$K$2:$K$36,0),"")</f>
        <v>29</v>
      </c>
      <c r="N36" s="1" t="str">
        <f aca="false">IF(AND($D36,$B36="East Asia &amp; Pacific"),$F36,"")</f>
        <v/>
      </c>
      <c r="O36" s="1" t="str">
        <f aca="false">IF(AND($D36,$B36="East Asia &amp; Pacific"),$E36,"")</f>
        <v/>
      </c>
      <c r="P36" s="1" t="str">
        <f aca="false">IF(AND($D36,$B36="Europe &amp; Central Asia"),$F36,"")</f>
        <v/>
      </c>
      <c r="Q36" s="1" t="str">
        <f aca="false">IF(AND($D36,$B36="Europe &amp; Central Asia"),$E36,"")</f>
        <v/>
      </c>
      <c r="R36" s="1" t="str">
        <f aca="false">IF(AND($D36,$B36="Latin America &amp; Caribbean"),$F36,"")</f>
        <v/>
      </c>
      <c r="S36" s="1" t="str">
        <f aca="false">IF(AND($D36,$B36="Latin America &amp; Caribbean"),$E36,"")</f>
        <v/>
      </c>
      <c r="T36" s="1" t="str">
        <f aca="false">IF(AND($D36,$B36="Middle East &amp; North Africa"),$F36,"")</f>
        <v/>
      </c>
      <c r="U36" s="1" t="str">
        <f aca="false">IF(AND($D36,$B36="Middle East &amp; North Africa"),$E36,"")</f>
        <v/>
      </c>
      <c r="V36" s="1" t="n">
        <f aca="false">IF(AND($D36,$B36="North America"),$F36,"")</f>
        <v>86169.66</v>
      </c>
      <c r="W36" s="1" t="n">
        <f aca="false">IF(AND($D36,$B36="North America"),$E36,"")</f>
        <v>29.04</v>
      </c>
      <c r="X36" s="1" t="str">
        <f aca="false">IF(AND($D36,$B36="South Asia"),$F36,"")</f>
        <v/>
      </c>
      <c r="Y36" s="1" t="str">
        <f aca="false">IF(AND($D36,$B36="South Asia"),$E36,"")</f>
        <v/>
      </c>
      <c r="Z36" s="1" t="str">
        <f aca="false">IF(AND($D36,$B36="Sub-Saharan Africa"),$F36,"")</f>
        <v/>
      </c>
      <c r="AA36" s="1" t="str">
        <f aca="false">IF(AND($D36,$B36="Sub-Saharan Africa"),$E36,"")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8" t="s">
        <v>29</v>
      </c>
      <c r="B1" s="18" t="s">
        <v>30</v>
      </c>
      <c r="C1" s="18" t="s">
        <v>187</v>
      </c>
      <c r="D1" s="18" t="s">
        <v>170</v>
      </c>
      <c r="E1" s="18" t="s">
        <v>188</v>
      </c>
      <c r="G1" s="21" t="s">
        <v>189</v>
      </c>
      <c r="H1" s="21" t="str">
        <f aca="false">INDEX($B$2:$B$36,MATCH(T2_Country,$A$2:$A$36,0))</f>
        <v>South Asia</v>
      </c>
    </row>
    <row r="2" customFormat="false" ht="15" hidden="false" customHeight="true" outlineLevel="0" collapsed="false">
      <c r="A2" s="1" t="str">
        <f aca="false">CountryMeta!A2</f>
        <v>Argentina</v>
      </c>
      <c r="B2" s="1" t="str">
        <f aca="false">CountryMeta!C2</f>
        <v>Latin America &amp; Caribbean</v>
      </c>
      <c r="C2" s="1" t="n">
        <f aca="false">SUMIFS(Data!$K:$K,Data!$A:$A,$A2,Data!$C:$C,T2_EndYear)</f>
        <v>47.99</v>
      </c>
      <c r="D2" s="1" t="str">
        <f aca="false">IF($B2=$H$1,$C2,"")</f>
        <v/>
      </c>
      <c r="E2" s="1" t="str">
        <f aca="false">IFERROR(RANK($D2,$D$2:$D$36,0),"")</f>
        <v/>
      </c>
    </row>
    <row r="3" customFormat="false" ht="15" hidden="false" customHeight="true" outlineLevel="0" collapsed="false">
      <c r="A3" s="1" t="str">
        <f aca="false">CountryMeta!A3</f>
        <v>Australia</v>
      </c>
      <c r="B3" s="1" t="str">
        <f aca="false">CountryMeta!C3</f>
        <v>East Asia &amp; Pacific</v>
      </c>
      <c r="C3" s="1" t="n">
        <f aca="false">SUMIFS(Data!$K:$K,Data!$A:$A,$A3,Data!$C:$C,T2_EndYear)</f>
        <v>17.73</v>
      </c>
      <c r="D3" s="1" t="str">
        <f aca="false">IF($B3=$H$1,$C3,"")</f>
        <v/>
      </c>
      <c r="E3" s="1" t="str">
        <f aca="false">IFERROR(RANK($D3,$D$2:$D$36,0),"")</f>
        <v/>
      </c>
    </row>
    <row r="4" customFormat="false" ht="15" hidden="false" customHeight="true" outlineLevel="0" collapsed="false">
      <c r="A4" s="1" t="str">
        <f aca="false">CountryMeta!A4</f>
        <v>Bangladesh</v>
      </c>
      <c r="B4" s="1" t="str">
        <f aca="false">CountryMeta!C4</f>
        <v>South Asia</v>
      </c>
      <c r="C4" s="1" t="n">
        <f aca="false">SUMIFS(Data!$K:$K,Data!$A:$A,$A4,Data!$C:$C,T2_EndYear)</f>
        <v>63.31</v>
      </c>
      <c r="D4" s="1" t="n">
        <f aca="false">IF($B4=$H$1,$C4,"")</f>
        <v>63.31</v>
      </c>
      <c r="E4" s="1" t="n">
        <f aca="false">IFERROR(RANK($D4,$D$2:$D$36,0),"")</f>
        <v>2</v>
      </c>
    </row>
    <row r="5" customFormat="false" ht="15" hidden="false" customHeight="true" outlineLevel="0" collapsed="false">
      <c r="A5" s="1" t="str">
        <f aca="false">CountryMeta!A5</f>
        <v>Brazil</v>
      </c>
      <c r="B5" s="1" t="str">
        <f aca="false">CountryMeta!C5</f>
        <v>Latin America &amp; Caribbean</v>
      </c>
      <c r="C5" s="1" t="n">
        <f aca="false">SUMIFS(Data!$K:$K,Data!$A:$A,$A5,Data!$C:$C,T2_EndYear)</f>
        <v>50.98</v>
      </c>
      <c r="D5" s="1" t="str">
        <f aca="false">IF($B5=$H$1,$C5,"")</f>
        <v/>
      </c>
      <c r="E5" s="1" t="str">
        <f aca="false">IFERROR(RANK($D5,$D$2:$D$36,0),"")</f>
        <v/>
      </c>
    </row>
    <row r="6" customFormat="false" ht="15" hidden="false" customHeight="true" outlineLevel="0" collapsed="false">
      <c r="A6" s="1" t="str">
        <f aca="false">CountryMeta!A6</f>
        <v>Canada</v>
      </c>
      <c r="B6" s="1" t="str">
        <f aca="false">CountryMeta!C6</f>
        <v>North America</v>
      </c>
      <c r="C6" s="1" t="n">
        <f aca="false">SUMIFS(Data!$K:$K,Data!$A:$A,$A6,Data!$C:$C,T2_EndYear)</f>
        <v>21.14</v>
      </c>
      <c r="D6" s="1" t="str">
        <f aca="false">IF($B6=$H$1,$C6,"")</f>
        <v/>
      </c>
      <c r="E6" s="1" t="str">
        <f aca="false">IFERROR(RANK($D6,$D$2:$D$36,0),"")</f>
        <v/>
      </c>
    </row>
    <row r="7" customFormat="false" ht="15" hidden="false" customHeight="true" outlineLevel="0" collapsed="false">
      <c r="A7" s="1" t="str">
        <f aca="false">CountryMeta!A7</f>
        <v>Chile</v>
      </c>
      <c r="B7" s="1" t="str">
        <f aca="false">CountryMeta!C7</f>
        <v>Latin America &amp; Caribbean</v>
      </c>
      <c r="C7" s="1" t="n">
        <f aca="false">SUMIFS(Data!$K:$K,Data!$A:$A,$A7,Data!$C:$C,T2_EndYear)</f>
        <v>31.44</v>
      </c>
      <c r="D7" s="1" t="str">
        <f aca="false">IF($B7=$H$1,$C7,"")</f>
        <v/>
      </c>
      <c r="E7" s="1" t="str">
        <f aca="false">IFERROR(RANK($D7,$D$2:$D$36,0),"")</f>
        <v/>
      </c>
    </row>
    <row r="8" customFormat="false" ht="15" hidden="false" customHeight="true" outlineLevel="0" collapsed="false">
      <c r="A8" s="1" t="str">
        <f aca="false">CountryMeta!A8</f>
        <v>China</v>
      </c>
      <c r="B8" s="1" t="str">
        <f aca="false">CountryMeta!C8</f>
        <v>East Asia &amp; Pacific</v>
      </c>
      <c r="C8" s="1" t="n">
        <f aca="false">SUMIFS(Data!$K:$K,Data!$A:$A,$A8,Data!$C:$C,T2_EndYear)</f>
        <v>46.59</v>
      </c>
      <c r="D8" s="1" t="str">
        <f aca="false">IF($B8=$H$1,$C8,"")</f>
        <v/>
      </c>
      <c r="E8" s="1" t="str">
        <f aca="false">IFERROR(RANK($D8,$D$2:$D$36,0),"")</f>
        <v/>
      </c>
    </row>
    <row r="9" customFormat="false" ht="15" hidden="false" customHeight="true" outlineLevel="0" collapsed="false">
      <c r="A9" s="1" t="str">
        <f aca="false">CountryMeta!A9</f>
        <v>Colombia</v>
      </c>
      <c r="B9" s="1" t="str">
        <f aca="false">CountryMeta!C9</f>
        <v>Latin America &amp; Caribbean</v>
      </c>
      <c r="C9" s="1" t="n">
        <f aca="false">SUMIFS(Data!$K:$K,Data!$A:$A,$A9,Data!$C:$C,T2_EndYear)</f>
        <v>51.59</v>
      </c>
      <c r="D9" s="1" t="str">
        <f aca="false">IF($B9=$H$1,$C9,"")</f>
        <v/>
      </c>
      <c r="E9" s="1" t="str">
        <f aca="false">IFERROR(RANK($D9,$D$2:$D$36,0),"")</f>
        <v/>
      </c>
    </row>
    <row r="10" customFormat="false" ht="15" hidden="false" customHeight="true" outlineLevel="0" collapsed="false">
      <c r="A10" s="1" t="str">
        <f aca="false">CountryMeta!A10</f>
        <v>Congo, Dem. Rep.</v>
      </c>
      <c r="B10" s="1" t="str">
        <f aca="false">CountryMeta!C10</f>
        <v>Sub-Saharan Africa</v>
      </c>
      <c r="C10" s="1" t="n">
        <f aca="false">SUMIFS(Data!$K:$K,Data!$A:$A,$A10,Data!$C:$C,T2_EndYear)</f>
        <v>72.39</v>
      </c>
      <c r="D10" s="1" t="str">
        <f aca="false">IF($B10=$H$1,$C10,"")</f>
        <v/>
      </c>
      <c r="E10" s="1" t="str">
        <f aca="false">IFERROR(RANK($D10,$D$2:$D$36,0),"")</f>
        <v/>
      </c>
    </row>
    <row r="11" customFormat="false" ht="15" hidden="false" customHeight="true" outlineLevel="0" collapsed="false">
      <c r="A11" s="1" t="str">
        <f aca="false">CountryMeta!A11</f>
        <v>Egypt, Arab Rep.</v>
      </c>
      <c r="B11" s="1" t="str">
        <f aca="false">CountryMeta!C11</f>
        <v>Middle East &amp; North Africa</v>
      </c>
      <c r="C11" s="1" t="n">
        <f aca="false">SUMIFS(Data!$K:$K,Data!$A:$A,$A11,Data!$C:$C,T2_EndYear)</f>
        <v>57.17</v>
      </c>
      <c r="D11" s="1" t="str">
        <f aca="false">IF($B11=$H$1,$C11,"")</f>
        <v/>
      </c>
      <c r="E11" s="1" t="str">
        <f aca="false">IFERROR(RANK($D11,$D$2:$D$36,0),"")</f>
        <v/>
      </c>
    </row>
    <row r="12" customFormat="false" ht="15" hidden="false" customHeight="true" outlineLevel="0" collapsed="false">
      <c r="A12" s="1" t="str">
        <f aca="false">CountryMeta!A12</f>
        <v>Ethiopia</v>
      </c>
      <c r="B12" s="1" t="str">
        <f aca="false">CountryMeta!C12</f>
        <v>Sub-Saharan Africa</v>
      </c>
      <c r="C12" s="1" t="n">
        <f aca="false">SUMIFS(Data!$K:$K,Data!$A:$A,$A12,Data!$C:$C,T2_EndYear)</f>
        <v>61.67</v>
      </c>
      <c r="D12" s="1" t="str">
        <f aca="false">IF($B12=$H$1,$C12,"")</f>
        <v/>
      </c>
      <c r="E12" s="1" t="str">
        <f aca="false">IFERROR(RANK($D12,$D$2:$D$36,0),"")</f>
        <v/>
      </c>
    </row>
    <row r="13" customFormat="false" ht="15" hidden="false" customHeight="true" outlineLevel="0" collapsed="false">
      <c r="A13" s="1" t="str">
        <f aca="false">CountryMeta!A13</f>
        <v>France</v>
      </c>
      <c r="B13" s="1" t="str">
        <f aca="false">CountryMeta!C13</f>
        <v>Europe &amp; Central Asia</v>
      </c>
      <c r="C13" s="1" t="n">
        <f aca="false">SUMIFS(Data!$K:$K,Data!$A:$A,$A13,Data!$C:$C,T2_EndYear)</f>
        <v>29.74</v>
      </c>
      <c r="D13" s="1" t="str">
        <f aca="false">IF($B13=$H$1,$C13,"")</f>
        <v/>
      </c>
      <c r="E13" s="1" t="str">
        <f aca="false">IFERROR(RANK($D13,$D$2:$D$36,0),"")</f>
        <v/>
      </c>
    </row>
    <row r="14" customFormat="false" ht="15" hidden="false" customHeight="true" outlineLevel="0" collapsed="false">
      <c r="A14" s="1" t="str">
        <f aca="false">CountryMeta!A14</f>
        <v>Georgia</v>
      </c>
      <c r="B14" s="1" t="str">
        <f aca="false">CountryMeta!C14</f>
        <v>Europe &amp; Central Asia</v>
      </c>
      <c r="C14" s="1" t="n">
        <f aca="false">SUMIFS(Data!$K:$K,Data!$A:$A,$A14,Data!$C:$C,T2_EndYear)</f>
        <v>41.09</v>
      </c>
      <c r="D14" s="1" t="str">
        <f aca="false">IF($B14=$H$1,$C14,"")</f>
        <v/>
      </c>
      <c r="E14" s="1" t="str">
        <f aca="false">IFERROR(RANK($D14,$D$2:$D$36,0),"")</f>
        <v/>
      </c>
    </row>
    <row r="15" customFormat="false" ht="15" hidden="false" customHeight="true" outlineLevel="0" collapsed="false">
      <c r="A15" s="1" t="str">
        <f aca="false">CountryMeta!A15</f>
        <v>Germany</v>
      </c>
      <c r="B15" s="1" t="str">
        <f aca="false">CountryMeta!C15</f>
        <v>Europe &amp; Central Asia</v>
      </c>
      <c r="C15" s="1" t="n">
        <f aca="false">SUMIFS(Data!$K:$K,Data!$A:$A,$A15,Data!$C:$C,T2_EndYear)</f>
        <v>21.2</v>
      </c>
      <c r="D15" s="1" t="str">
        <f aca="false">IF($B15=$H$1,$C15,"")</f>
        <v/>
      </c>
      <c r="E15" s="1" t="str">
        <f aca="false">IFERROR(RANK($D15,$D$2:$D$36,0),"")</f>
        <v/>
      </c>
    </row>
    <row r="16" customFormat="false" ht="15" hidden="false" customHeight="true" outlineLevel="0" collapsed="false">
      <c r="A16" s="1" t="str">
        <f aca="false">CountryMeta!A16</f>
        <v>Greece</v>
      </c>
      <c r="B16" s="1" t="str">
        <f aca="false">CountryMeta!C16</f>
        <v>Europe &amp; Central Asia</v>
      </c>
      <c r="C16" s="1" t="n">
        <f aca="false">SUMIFS(Data!$K:$K,Data!$A:$A,$A16,Data!$C:$C,T2_EndYear)</f>
        <v>38.32</v>
      </c>
      <c r="D16" s="1" t="str">
        <f aca="false">IF($B16=$H$1,$C16,"")</f>
        <v/>
      </c>
      <c r="E16" s="1" t="str">
        <f aca="false">IFERROR(RANK($D16,$D$2:$D$36,0),"")</f>
        <v/>
      </c>
    </row>
    <row r="17" customFormat="false" ht="15" hidden="false" customHeight="true" outlineLevel="0" collapsed="false">
      <c r="A17" s="1" t="str">
        <f aca="false">CountryMeta!A17</f>
        <v>India</v>
      </c>
      <c r="B17" s="1" t="str">
        <f aca="false">CountryMeta!C17</f>
        <v>South Asia</v>
      </c>
      <c r="C17" s="1" t="n">
        <f aca="false">SUMIFS(Data!$K:$K,Data!$A:$A,$A17,Data!$C:$C,T2_EndYear)</f>
        <v>49</v>
      </c>
      <c r="D17" s="1" t="n">
        <f aca="false">IF($B17=$H$1,$C17,"")</f>
        <v>49</v>
      </c>
      <c r="E17" s="1" t="n">
        <f aca="false">IFERROR(RANK($D17,$D$2:$D$36,0),"")</f>
        <v>4</v>
      </c>
    </row>
    <row r="18" customFormat="false" ht="15" hidden="false" customHeight="true" outlineLevel="0" collapsed="false">
      <c r="A18" s="1" t="str">
        <f aca="false">CountryMeta!A18</f>
        <v>Indonesia</v>
      </c>
      <c r="B18" s="1" t="str">
        <f aca="false">CountryMeta!C18</f>
        <v>East Asia &amp; Pacific</v>
      </c>
      <c r="C18" s="1" t="n">
        <f aca="false">SUMIFS(Data!$K:$K,Data!$A:$A,$A18,Data!$C:$C,T2_EndYear)</f>
        <v>49.36</v>
      </c>
      <c r="D18" s="1" t="str">
        <f aca="false">IF($B18=$H$1,$C18,"")</f>
        <v/>
      </c>
      <c r="E18" s="1" t="str">
        <f aca="false">IFERROR(RANK($D18,$D$2:$D$36,0),"")</f>
        <v/>
      </c>
    </row>
    <row r="19" customFormat="false" ht="15" hidden="false" customHeight="true" outlineLevel="0" collapsed="false">
      <c r="A19" s="1" t="str">
        <f aca="false">CountryMeta!A19</f>
        <v>Iran, Islamic Rep.</v>
      </c>
      <c r="B19" s="1" t="str">
        <f aca="false">CountryMeta!C19</f>
        <v>Middle East &amp; North Africa</v>
      </c>
      <c r="C19" s="1" t="n">
        <f aca="false">SUMIFS(Data!$K:$K,Data!$A:$A,$A19,Data!$C:$C,T2_EndYear)</f>
        <v>67.44</v>
      </c>
      <c r="D19" s="1" t="str">
        <f aca="false">IF($B19=$H$1,$C19,"")</f>
        <v/>
      </c>
      <c r="E19" s="1" t="str">
        <f aca="false">IFERROR(RANK($D19,$D$2:$D$36,0),"")</f>
        <v/>
      </c>
    </row>
    <row r="20" customFormat="false" ht="15" hidden="false" customHeight="true" outlineLevel="0" collapsed="false">
      <c r="A20" s="1" t="str">
        <f aca="false">CountryMeta!A20</f>
        <v>Italy</v>
      </c>
      <c r="B20" s="1" t="str">
        <f aca="false">CountryMeta!C20</f>
        <v>Europe &amp; Central Asia</v>
      </c>
      <c r="C20" s="1" t="n">
        <f aca="false">SUMIFS(Data!$K:$K,Data!$A:$A,$A20,Data!$C:$C,T2_EndYear)</f>
        <v>34.3</v>
      </c>
      <c r="D20" s="1" t="str">
        <f aca="false">IF($B20=$H$1,$C20,"")</f>
        <v/>
      </c>
      <c r="E20" s="1" t="str">
        <f aca="false">IFERROR(RANK($D20,$D$2:$D$36,0),"")</f>
        <v/>
      </c>
    </row>
    <row r="21" customFormat="false" ht="15" hidden="false" customHeight="true" outlineLevel="0" collapsed="false">
      <c r="A21" s="1" t="str">
        <f aca="false">CountryMeta!A21</f>
        <v>Japan</v>
      </c>
      <c r="B21" s="1" t="str">
        <f aca="false">CountryMeta!C21</f>
        <v>East Asia &amp; Pacific</v>
      </c>
      <c r="C21" s="1" t="n">
        <f aca="false">SUMIFS(Data!$K:$K,Data!$A:$A,$A21,Data!$C:$C,T2_EndYear)</f>
        <v>20.15</v>
      </c>
      <c r="D21" s="1" t="str">
        <f aca="false">IF($B21=$H$1,$C21,"")</f>
        <v/>
      </c>
      <c r="E21" s="1" t="str">
        <f aca="false">IFERROR(RANK($D21,$D$2:$D$36,0),"")</f>
        <v/>
      </c>
    </row>
    <row r="22" customFormat="false" ht="15" hidden="false" customHeight="true" outlineLevel="0" collapsed="false">
      <c r="A22" s="1" t="str">
        <f aca="false">CountryMeta!A22</f>
        <v>Kazakhstan</v>
      </c>
      <c r="B22" s="1" t="str">
        <f aca="false">CountryMeta!C22</f>
        <v>Europe &amp; Central Asia</v>
      </c>
      <c r="C22" s="1" t="n">
        <f aca="false">SUMIFS(Data!$K:$K,Data!$A:$A,$A22,Data!$C:$C,T2_EndYear)</f>
        <v>46.61</v>
      </c>
      <c r="D22" s="1" t="str">
        <f aca="false">IF($B22=$H$1,$C22,"")</f>
        <v/>
      </c>
      <c r="E22" s="1" t="str">
        <f aca="false">IFERROR(RANK($D22,$D$2:$D$36,0),"")</f>
        <v/>
      </c>
    </row>
    <row r="23" customFormat="false" ht="15" hidden="false" customHeight="true" outlineLevel="0" collapsed="false">
      <c r="A23" s="1" t="str">
        <f aca="false">CountryMeta!A23</f>
        <v>Kenya</v>
      </c>
      <c r="B23" s="1" t="str">
        <f aca="false">CountryMeta!C23</f>
        <v>Sub-Saharan Africa</v>
      </c>
      <c r="C23" s="1" t="n">
        <f aca="false">SUMIFS(Data!$K:$K,Data!$A:$A,$A23,Data!$C:$C,T2_EndYear)</f>
        <v>56.77</v>
      </c>
      <c r="D23" s="1" t="str">
        <f aca="false">IF($B23=$H$1,$C23,"")</f>
        <v/>
      </c>
      <c r="E23" s="1" t="str">
        <f aca="false">IFERROR(RANK($D23,$D$2:$D$36,0),"")</f>
        <v/>
      </c>
    </row>
    <row r="24" customFormat="false" ht="15" hidden="false" customHeight="true" outlineLevel="0" collapsed="false">
      <c r="A24" s="1" t="str">
        <f aca="false">CountryMeta!A24</f>
        <v>Mexico</v>
      </c>
      <c r="B24" s="1" t="str">
        <f aca="false">CountryMeta!C24</f>
        <v>Latin America &amp; Caribbean</v>
      </c>
      <c r="C24" s="1" t="n">
        <f aca="false">SUMIFS(Data!$K:$K,Data!$A:$A,$A24,Data!$C:$C,T2_EndYear)</f>
        <v>57.16</v>
      </c>
      <c r="D24" s="1" t="str">
        <f aca="false">IF($B24=$H$1,$C24,"")</f>
        <v/>
      </c>
      <c r="E24" s="1" t="str">
        <f aca="false">IFERROR(RANK($D24,$D$2:$D$36,0),"")</f>
        <v/>
      </c>
    </row>
    <row r="25" customFormat="false" ht="15" hidden="false" customHeight="true" outlineLevel="0" collapsed="false">
      <c r="A25" s="1" t="str">
        <f aca="false">CountryMeta!A25</f>
        <v>Nigeria</v>
      </c>
      <c r="B25" s="1" t="str">
        <f aca="false">CountryMeta!C25</f>
        <v>Sub-Saharan Africa</v>
      </c>
      <c r="C25" s="1" t="n">
        <f aca="false">SUMIFS(Data!$K:$K,Data!$A:$A,$A25,Data!$C:$C,T2_EndYear)</f>
        <v>64.63</v>
      </c>
      <c r="D25" s="1" t="str">
        <f aca="false">IF($B25=$H$1,$C25,"")</f>
        <v/>
      </c>
      <c r="E25" s="1" t="str">
        <f aca="false">IFERROR(RANK($D25,$D$2:$D$36,0),"")</f>
        <v/>
      </c>
    </row>
    <row r="26" customFormat="false" ht="15" hidden="false" customHeight="true" outlineLevel="0" collapsed="false">
      <c r="A26" s="1" t="str">
        <f aca="false">CountryMeta!A26</f>
        <v>Pakistan</v>
      </c>
      <c r="B26" s="1" t="str">
        <f aca="false">CountryMeta!C26</f>
        <v>South Asia</v>
      </c>
      <c r="C26" s="1" t="n">
        <f aca="false">SUMIFS(Data!$K:$K,Data!$A:$A,$A26,Data!$C:$C,T2_EndYear)</f>
        <v>65.31</v>
      </c>
      <c r="D26" s="1" t="n">
        <f aca="false">IF($B26=$H$1,$C26,"")</f>
        <v>65.31</v>
      </c>
      <c r="E26" s="1" t="n">
        <f aca="false">IFERROR(RANK($D26,$D$2:$D$36,0),"")</f>
        <v>1</v>
      </c>
    </row>
    <row r="27" customFormat="false" ht="15" hidden="false" customHeight="true" outlineLevel="0" collapsed="false">
      <c r="A27" s="1" t="str">
        <f aca="false">CountryMeta!A27</f>
        <v>Philippines</v>
      </c>
      <c r="B27" s="1" t="str">
        <f aca="false">CountryMeta!C27</f>
        <v>East Asia &amp; Pacific</v>
      </c>
      <c r="C27" s="1" t="n">
        <f aca="false">SUMIFS(Data!$K:$K,Data!$A:$A,$A27,Data!$C:$C,T2_EndYear)</f>
        <v>51.99</v>
      </c>
      <c r="D27" s="1" t="str">
        <f aca="false">IF($B27=$H$1,$C27,"")</f>
        <v/>
      </c>
      <c r="E27" s="1" t="str">
        <f aca="false">IFERROR(RANK($D27,$D$2:$D$36,0),"")</f>
        <v/>
      </c>
    </row>
    <row r="28" customFormat="false" ht="15" hidden="false" customHeight="true" outlineLevel="0" collapsed="false">
      <c r="A28" s="1" t="str">
        <f aca="false">CountryMeta!A28</f>
        <v>Poland</v>
      </c>
      <c r="B28" s="1" t="str">
        <f aca="false">CountryMeta!C28</f>
        <v>Europe &amp; Central Asia</v>
      </c>
      <c r="C28" s="1" t="n">
        <f aca="false">SUMIFS(Data!$K:$K,Data!$A:$A,$A28,Data!$C:$C,T2_EndYear)</f>
        <v>32.27</v>
      </c>
      <c r="D28" s="1" t="str">
        <f aca="false">IF($B28=$H$1,$C28,"")</f>
        <v/>
      </c>
      <c r="E28" s="1" t="str">
        <f aca="false">IFERROR(RANK($D28,$D$2:$D$36,0),"")</f>
        <v/>
      </c>
    </row>
    <row r="29" customFormat="false" ht="15" hidden="false" customHeight="true" outlineLevel="0" collapsed="false">
      <c r="A29" s="1" t="str">
        <f aca="false">CountryMeta!A29</f>
        <v>Russian Federation</v>
      </c>
      <c r="B29" s="1" t="str">
        <f aca="false">CountryMeta!C29</f>
        <v>Europe &amp; Central Asia</v>
      </c>
      <c r="C29" s="1" t="n">
        <f aca="false">SUMIFS(Data!$K:$K,Data!$A:$A,$A29,Data!$C:$C,T2_EndYear)</f>
        <v>61.16</v>
      </c>
      <c r="D29" s="1" t="str">
        <f aca="false">IF($B29=$H$1,$C29,"")</f>
        <v/>
      </c>
      <c r="E29" s="1" t="str">
        <f aca="false">IFERROR(RANK($D29,$D$2:$D$36,0),"")</f>
        <v/>
      </c>
    </row>
    <row r="30" customFormat="false" ht="15" hidden="false" customHeight="true" outlineLevel="0" collapsed="false">
      <c r="A30" s="1" t="str">
        <f aca="false">CountryMeta!A30</f>
        <v>Saudi Arabia</v>
      </c>
      <c r="B30" s="1" t="str">
        <f aca="false">CountryMeta!C30</f>
        <v>Middle East &amp; North Africa</v>
      </c>
      <c r="C30" s="1" t="n">
        <f aca="false">SUMIFS(Data!$K:$K,Data!$A:$A,$A30,Data!$C:$C,T2_EndYear)</f>
        <v>36.3</v>
      </c>
      <c r="D30" s="1" t="str">
        <f aca="false">IF($B30=$H$1,$C30,"")</f>
        <v/>
      </c>
      <c r="E30" s="1" t="str">
        <f aca="false">IFERROR(RANK($D30,$D$2:$D$36,0),"")</f>
        <v/>
      </c>
    </row>
    <row r="31" customFormat="false" ht="15" hidden="false" customHeight="true" outlineLevel="0" collapsed="false">
      <c r="A31" s="1" t="str">
        <f aca="false">CountryMeta!A31</f>
        <v>South Africa</v>
      </c>
      <c r="B31" s="1" t="str">
        <f aca="false">CountryMeta!C31</f>
        <v>Sub-Saharan Africa</v>
      </c>
      <c r="C31" s="1" t="n">
        <f aca="false">SUMIFS(Data!$K:$K,Data!$A:$A,$A31,Data!$C:$C,T2_EndYear)</f>
        <v>47.37</v>
      </c>
      <c r="D31" s="1" t="str">
        <f aca="false">IF($B31=$H$1,$C31,"")</f>
        <v/>
      </c>
      <c r="E31" s="1" t="str">
        <f aca="false">IFERROR(RANK($D31,$D$2:$D$36,0),"")</f>
        <v/>
      </c>
    </row>
    <row r="32" customFormat="false" ht="15" hidden="false" customHeight="true" outlineLevel="0" collapsed="false">
      <c r="A32" s="1" t="str">
        <f aca="false">CountryMeta!A32</f>
        <v>Sri Lanka</v>
      </c>
      <c r="B32" s="1" t="str">
        <f aca="false">CountryMeta!C32</f>
        <v>South Asia</v>
      </c>
      <c r="C32" s="1" t="n">
        <f aca="false">SUMIFS(Data!$K:$K,Data!$A:$A,$A32,Data!$C:$C,T2_EndYear)</f>
        <v>49.34</v>
      </c>
      <c r="D32" s="1" t="n">
        <f aca="false">IF($B32=$H$1,$C32,"")</f>
        <v>49.34</v>
      </c>
      <c r="E32" s="1" t="n">
        <f aca="false">IFERROR(RANK($D32,$D$2:$D$36,0),"")</f>
        <v>3</v>
      </c>
    </row>
    <row r="33" customFormat="false" ht="15" hidden="false" customHeight="true" outlineLevel="0" collapsed="false">
      <c r="A33" s="1" t="str">
        <f aca="false">CountryMeta!A33</f>
        <v>Turkiye</v>
      </c>
      <c r="B33" s="1" t="str">
        <f aca="false">CountryMeta!C33</f>
        <v>Europe &amp; Central Asia</v>
      </c>
      <c r="C33" s="1" t="n">
        <f aca="false">SUMIFS(Data!$K:$K,Data!$A:$A,$A33,Data!$C:$C,T2_EndYear)</f>
        <v>55.06</v>
      </c>
      <c r="D33" s="1" t="str">
        <f aca="false">IF($B33=$H$1,$C33,"")</f>
        <v/>
      </c>
      <c r="E33" s="1" t="str">
        <f aca="false">IFERROR(RANK($D33,$D$2:$D$36,0),"")</f>
        <v/>
      </c>
    </row>
    <row r="34" customFormat="false" ht="15" hidden="false" customHeight="true" outlineLevel="0" collapsed="false">
      <c r="A34" s="1" t="str">
        <f aca="false">CountryMeta!A34</f>
        <v>United Arab Emirates</v>
      </c>
      <c r="B34" s="1" t="str">
        <f aca="false">CountryMeta!C34</f>
        <v>Middle East &amp; North Africa</v>
      </c>
      <c r="C34" s="1" t="n">
        <f aca="false">SUMIFS(Data!$K:$K,Data!$A:$A,$A34,Data!$C:$C,T2_EndYear)</f>
        <v>27.74</v>
      </c>
      <c r="D34" s="1" t="str">
        <f aca="false">IF($B34=$H$1,$C34,"")</f>
        <v/>
      </c>
      <c r="E34" s="1" t="str">
        <f aca="false">IFERROR(RANK($D34,$D$2:$D$36,0),"")</f>
        <v/>
      </c>
    </row>
    <row r="35" customFormat="false" ht="15" hidden="false" customHeight="true" outlineLevel="0" collapsed="false">
      <c r="A35" s="1" t="str">
        <f aca="false">CountryMeta!A35</f>
        <v>United Kingdom</v>
      </c>
      <c r="B35" s="1" t="str">
        <f aca="false">CountryMeta!C35</f>
        <v>Europe &amp; Central Asia</v>
      </c>
      <c r="C35" s="1" t="n">
        <f aca="false">SUMIFS(Data!$K:$K,Data!$A:$A,$A35,Data!$C:$C,T2_EndYear)</f>
        <v>23.44</v>
      </c>
      <c r="D35" s="1" t="str">
        <f aca="false">IF($B35=$H$1,$C35,"")</f>
        <v/>
      </c>
      <c r="E35" s="1" t="str">
        <f aca="false">IFERROR(RANK($D35,$D$2:$D$36,0),"")</f>
        <v/>
      </c>
    </row>
    <row r="36" customFormat="false" ht="15" hidden="false" customHeight="true" outlineLevel="0" collapsed="false">
      <c r="A36" s="1" t="str">
        <f aca="false">CountryMeta!A36</f>
        <v>United States</v>
      </c>
      <c r="B36" s="1" t="str">
        <f aca="false">CountryMeta!C36</f>
        <v>North America</v>
      </c>
      <c r="C36" s="1" t="n">
        <f aca="false">SUMIFS(Data!$K:$K,Data!$A:$A,$A36,Data!$C:$C,T2_EndYear)</f>
        <v>29.04</v>
      </c>
      <c r="D36" s="1" t="str">
        <f aca="false">IF($B36=$H$1,$C36,"")</f>
        <v/>
      </c>
      <c r="E36" s="1" t="str">
        <f aca="false">IFERROR(RANK($D36,$D$2:$D$36,0),"")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2026-08-22T00:27:48Z</dcterms:created>
  <dc:creator>openpyxl</dc:creator>
  <dc:description/>
  <dc:language>en-US</dc:language>
  <cp:lastModifiedBy/>
  <dcterms:modified xsi:type="dcterms:W3CDTF">2026-08-22T00:36:33Z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