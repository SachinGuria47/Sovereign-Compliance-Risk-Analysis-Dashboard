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lobal Overview" sheetId="1" r:id="rId5"/>
    <sheet state="visible" name="Country Deep Dive" sheetId="2" r:id="rId6"/>
    <sheet state="visible" name="Data" sheetId="3" r:id="rId7"/>
    <sheet state="visible" name="CountryMeta" sheetId="4" r:id="rId8"/>
    <sheet state="hidden" name="Lookups" sheetId="5" r:id="rId9"/>
    <sheet state="hidden" name="Calc_T1" sheetId="6" r:id="rId10"/>
    <sheet state="hidden" name="Calc_T2" sheetId="7" r:id="rId11"/>
  </sheets>
  <definedNames>
    <definedName name="T1_Region">'Global Overview'!$C$5</definedName>
    <definedName name="T2_EndYear">'Country Deep Dive'!$I$5</definedName>
    <definedName name="T2_Country">'Country Deep Dive'!$C$5</definedName>
    <definedName name="T1_Income">'Global Overview'!$F$5</definedName>
    <definedName name="T1_Year">'Global Overview'!$I$5</definedName>
    <definedName name="T2_StartYear">'Country Deep Dive'!$F$5</definedName>
  </definedNames>
  <calcPr/>
</workbook>
</file>

<file path=xl/sharedStrings.xml><?xml version="1.0" encoding="utf-8"?>
<sst xmlns="http://schemas.openxmlformats.org/spreadsheetml/2006/main" count="2384" uniqueCount="179">
  <si>
    <t>Country Name</t>
  </si>
  <si>
    <t>Country Code</t>
  </si>
  <si>
    <t>Region</t>
  </si>
  <si>
    <t>Year</t>
  </si>
  <si>
    <t>Income_Group</t>
  </si>
  <si>
    <t>Argentina</t>
  </si>
  <si>
    <t>Control_of_Corruption</t>
  </si>
  <si>
    <t>Rule_of_Law</t>
  </si>
  <si>
    <t>Regulatory_Quality</t>
  </si>
  <si>
    <t>Political_Stability</t>
  </si>
  <si>
    <t>ARG</t>
  </si>
  <si>
    <t>Latin America &amp; Caribbean</t>
  </si>
  <si>
    <t>Governance_Avg</t>
  </si>
  <si>
    <t>Upper middle income</t>
  </si>
  <si>
    <t>Composite_Risk_Score</t>
  </si>
  <si>
    <t>Risk_Tier</t>
  </si>
  <si>
    <t>Australia</t>
  </si>
  <si>
    <t>AUS</t>
  </si>
  <si>
    <t>GDP_per_Capita_USD</t>
  </si>
  <si>
    <t>East Asia &amp; Pacific</t>
  </si>
  <si>
    <t>High income</t>
  </si>
  <si>
    <t>Risk_Tier_Calc</t>
  </si>
  <si>
    <t>Match_RegionIncome_T1</t>
  </si>
  <si>
    <t>Bangladesh</t>
  </si>
  <si>
    <t>BGD</t>
  </si>
  <si>
    <t>South Asia</t>
  </si>
  <si>
    <t>Lower middle income</t>
  </si>
  <si>
    <t>Brazil</t>
  </si>
  <si>
    <t>BRA</t>
  </si>
  <si>
    <t>Medium Risk</t>
  </si>
  <si>
    <t>Canada</t>
  </si>
  <si>
    <t>CAN</t>
  </si>
  <si>
    <t>North America</t>
  </si>
  <si>
    <t>Chile</t>
  </si>
  <si>
    <t>CHL</t>
  </si>
  <si>
    <t>China</t>
  </si>
  <si>
    <t>CHN</t>
  </si>
  <si>
    <t>Colombia</t>
  </si>
  <si>
    <t>COL</t>
  </si>
  <si>
    <t>Congo, Dem. Rep.</t>
  </si>
  <si>
    <t>COD</t>
  </si>
  <si>
    <t>Sub-Saharan Africa</t>
  </si>
  <si>
    <t>Low income</t>
  </si>
  <si>
    <t>Egypt, Arab Rep.</t>
  </si>
  <si>
    <t>EGY</t>
  </si>
  <si>
    <t>Middle East &amp; North Africa</t>
  </si>
  <si>
    <t>Ethiopia</t>
  </si>
  <si>
    <t>ETH</t>
  </si>
  <si>
    <t>France</t>
  </si>
  <si>
    <t>FRA</t>
  </si>
  <si>
    <t>Europe &amp; Central Asia</t>
  </si>
  <si>
    <t>Georgia</t>
  </si>
  <si>
    <t>GEO</t>
  </si>
  <si>
    <t>Germany</t>
  </si>
  <si>
    <t>DEU</t>
  </si>
  <si>
    <t>Greece</t>
  </si>
  <si>
    <t>GRC</t>
  </si>
  <si>
    <t>India</t>
  </si>
  <si>
    <t>IND</t>
  </si>
  <si>
    <t>Indonesia</t>
  </si>
  <si>
    <t>IDN</t>
  </si>
  <si>
    <t>Iran, Islamic Rep.</t>
  </si>
  <si>
    <t>IRN</t>
  </si>
  <si>
    <t>Italy</t>
  </si>
  <si>
    <t>ITA</t>
  </si>
  <si>
    <t>Japan</t>
  </si>
  <si>
    <t>JPN</t>
  </si>
  <si>
    <t>Kazakhstan</t>
  </si>
  <si>
    <t>KAZ</t>
  </si>
  <si>
    <t>Kenya</t>
  </si>
  <si>
    <t>KEN</t>
  </si>
  <si>
    <t>Mexico</t>
  </si>
  <si>
    <t>MEX</t>
  </si>
  <si>
    <t>Nigeria</t>
  </si>
  <si>
    <t>NGA</t>
  </si>
  <si>
    <t>Pakistan</t>
  </si>
  <si>
    <t>PAK</t>
  </si>
  <si>
    <t>Philippines</t>
  </si>
  <si>
    <t>PHL</t>
  </si>
  <si>
    <t>Poland</t>
  </si>
  <si>
    <t>POL</t>
  </si>
  <si>
    <t>Russian Federation</t>
  </si>
  <si>
    <t>RUS</t>
  </si>
  <si>
    <t>Saudi Arabia</t>
  </si>
  <si>
    <t>SAU</t>
  </si>
  <si>
    <t>South Africa</t>
  </si>
  <si>
    <t>ZAF</t>
  </si>
  <si>
    <t>Sri Lanka</t>
  </si>
  <si>
    <t>LKA</t>
  </si>
  <si>
    <t>Turkiye</t>
  </si>
  <si>
    <t>TUR</t>
  </si>
  <si>
    <t>United Arab Emirates</t>
  </si>
  <si>
    <t>ARE</t>
  </si>
  <si>
    <t>United Kingdom</t>
  </si>
  <si>
    <t>GBR</t>
  </si>
  <si>
    <t>United States</t>
  </si>
  <si>
    <t>USA</t>
  </si>
  <si>
    <t>Low Risk</t>
  </si>
  <si>
    <t>Sovereign Compliance &amp; Risk Analysis Dashboard</t>
  </si>
  <si>
    <t>Country Deep Dive  |  Select a country to explore its governance profile in detail</t>
  </si>
  <si>
    <t>FILTERS</t>
  </si>
  <si>
    <t>Country:</t>
  </si>
  <si>
    <t>Start Year:</t>
  </si>
  <si>
    <t>End Year:</t>
  </si>
  <si>
    <t>SELECTED COUNTRY</t>
  </si>
  <si>
    <t>RISK SCORE (END YEAR)</t>
  </si>
  <si>
    <t>RISK TIER (END YEAR)</t>
  </si>
  <si>
    <t>SCORE CHANGE (START -&gt; END YEAR)</t>
  </si>
  <si>
    <t>GOVERNANCE BREAKDOWN (End Year)</t>
  </si>
  <si>
    <t>COUNTRY RISK TREND (2013-2024)</t>
  </si>
  <si>
    <t>Pillar</t>
  </si>
  <si>
    <t>Score</t>
  </si>
  <si>
    <t>Risk Score</t>
  </si>
  <si>
    <t>Control of Corruption</t>
  </si>
  <si>
    <t>Rule of Law</t>
  </si>
  <si>
    <t>Global Overview  |  35 Countries across 7 Regions  |  2013-2024  |  Source: World Bank WGI &amp; WDI</t>
  </si>
  <si>
    <t>Regulatory Quality</t>
  </si>
  <si>
    <t>Region:</t>
  </si>
  <si>
    <t>All Regions</t>
  </si>
  <si>
    <t>Political Stability</t>
  </si>
  <si>
    <t>Income Group:</t>
  </si>
  <si>
    <t>All Income Groups</t>
  </si>
  <si>
    <t>Year:</t>
  </si>
  <si>
    <t>TOTAL COUNTRIES ANALYZED</t>
  </si>
  <si>
    <t>AVERAGE GLOBAL RISK SCORE</t>
  </si>
  <si>
    <t>HIGH RISK COUNTRIES (&gt;65)</t>
  </si>
  <si>
    <t>SAFEST COUNTRY (LOWEST RISK)</t>
  </si>
  <si>
    <t>RISKIEST COUNTRY (HIGHEST RISK)</t>
  </si>
  <si>
    <t>MOST IMPROVED  (2013 -&gt; 2024, biggest score decrease)</t>
  </si>
  <si>
    <t>MOST DETERIORATED  (2013 -&gt; 2024, biggest score increase)</t>
  </si>
  <si>
    <t xml:space="preserve">COUNTRY RISK RANKING  </t>
  </si>
  <si>
    <t>TOP 10 RISKIEST COUNTRIES</t>
  </si>
  <si>
    <t>PILLAR SCORES OVER TIME (2013-2024)</t>
  </si>
  <si>
    <t>Corruption</t>
  </si>
  <si>
    <t>Reg. Quality</t>
  </si>
  <si>
    <t>Pol. Stability</t>
  </si>
  <si>
    <t>Rank</t>
  </si>
  <si>
    <t>Country</t>
  </si>
  <si>
    <t>Composite Risk Score</t>
  </si>
  <si>
    <t>Risk Tier</t>
  </si>
  <si>
    <t xml:space="preserve">REGIONAL PEER COMPARISON </t>
  </si>
  <si>
    <t>RISK TIER BREAKDOWN (selected filters/year)</t>
  </si>
  <si>
    <t>Count</t>
  </si>
  <si>
    <t>High Risk</t>
  </si>
  <si>
    <t xml:space="preserve">DETAILED COUNTRY TABLE </t>
  </si>
  <si>
    <t>Governance Avg</t>
  </si>
  <si>
    <t>Regions</t>
  </si>
  <si>
    <t>Income Groups</t>
  </si>
  <si>
    <t>Years</t>
  </si>
  <si>
    <t xml:space="preserve">10-YEAR GLOBAL RISK TREND </t>
  </si>
  <si>
    <t>Avg Composite Risk Score</t>
  </si>
  <si>
    <t>IncomeGroup</t>
  </si>
  <si>
    <t>Included</t>
  </si>
  <si>
    <t>ScoreYear</t>
  </si>
  <si>
    <t>GDPYear</t>
  </si>
  <si>
    <t>Score2013</t>
  </si>
  <si>
    <t>Score2024</t>
  </si>
  <si>
    <t>Change_13_24</t>
  </si>
  <si>
    <t>Tier</t>
  </si>
  <si>
    <t>IncludedScore</t>
  </si>
  <si>
    <t>IncludedChange</t>
  </si>
  <si>
    <t>RankDesc</t>
  </si>
  <si>
    <t xml:space="preserve">X_East Asia &amp; </t>
  </si>
  <si>
    <t xml:space="preserve">Y_East Asia &amp; </t>
  </si>
  <si>
    <t>X_Europe &amp; Cen</t>
  </si>
  <si>
    <t>Y_Europe &amp; Cen</t>
  </si>
  <si>
    <t>X_Latin Americ</t>
  </si>
  <si>
    <t>Y_Latin Americ</t>
  </si>
  <si>
    <t xml:space="preserve">X_Middle East </t>
  </si>
  <si>
    <t xml:space="preserve">Y_Middle East </t>
  </si>
  <si>
    <t>X_North Americ</t>
  </si>
  <si>
    <t>Y_North Americ</t>
  </si>
  <si>
    <t>X_South Asia</t>
  </si>
  <si>
    <t>Y_South Asia</t>
  </si>
  <si>
    <t xml:space="preserve">X_Sub-Saharan </t>
  </si>
  <si>
    <t xml:space="preserve">Y_Sub-Saharan </t>
  </si>
  <si>
    <t>ScoreEndYear</t>
  </si>
  <si>
    <t>RegionRank</t>
  </si>
  <si>
    <t>SelectedRegion -&gt;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</si>
</sst>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0.0"/>
      <color rgb="FFFFFFFF"/>
      <name val="Arial"/>
    </font>
    <font>
      <sz val="11.0"/>
      <color theme="1"/>
      <name val="Calibri"/>
    </font>
    <font>
      <b/>
      <sz val="16.0"/>
      <color rgb="FFFFFFFF"/>
      <name val="Arial"/>
    </font>
    <font/>
    <font>
      <i/>
      <sz val="10.0"/>
      <color rgb="FFFFFFFF"/>
      <name val="Arial"/>
    </font>
    <font>
      <b/>
      <sz val="12.0"/>
      <color rgb="FF1F4E78"/>
      <name val="Arial"/>
    </font>
    <font>
      <b/>
      <sz val="9.0"/>
      <color rgb="FF595959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b/>
      <sz val="16.0"/>
      <color rgb="FF1F4E78"/>
      <name val="Arial"/>
    </font>
    <font>
      <sz val="10.0"/>
      <color theme="1"/>
      <name val="Arial"/>
    </font>
    <font>
      <i/>
      <sz val="9.0"/>
      <color rgb="FF808080"/>
      <name val="Arial"/>
    </font>
    <font>
      <i/>
      <sz val="9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EAF1F8"/>
        <bgColor rgb="FFEAF1F8"/>
      </patternFill>
    </fill>
  </fills>
  <borders count="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2" fillId="3" fontId="3" numFmtId="0" xfId="0" applyAlignment="1" applyBorder="1" applyFill="1" applyFont="1">
      <alignment shrinkToFit="0" vertical="bottom" wrapText="0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left" shrinkToFit="0" vertical="center" wrapText="0"/>
    </xf>
    <xf borderId="5" fillId="4" fontId="8" numFmtId="0" xfId="0" applyAlignment="1" applyBorder="1" applyFill="1" applyFont="1">
      <alignment horizontal="center" readingOrder="0" shrinkToFit="0" vertical="center" wrapText="1"/>
    </xf>
    <xf borderId="5" fillId="4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0" fontId="4" numFmtId="0" xfId="0" applyBorder="1" applyFont="1"/>
    <xf borderId="6" fillId="5" fontId="10" numFmtId="0" xfId="0" applyAlignment="1" applyBorder="1" applyFill="1" applyFont="1">
      <alignment horizontal="center" shrinkToFit="0" vertical="center" wrapText="1"/>
    </xf>
    <xf borderId="5" fillId="0" fontId="11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1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Top 10 Riskiest Countries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Risk Score</c:v>
          </c:tx>
          <c:spPr>
            <a:solidFill>
              <a:srgbClr val="C00000"/>
            </a:solidFill>
            <a:ln cmpd="sng">
              <a:noFill/>
            </a:ln>
          </c:spPr>
          <c:cat>
            <c:strRef>
              <c:f>'Global Overview'!$J$17:$J$26</c:f>
            </c:strRef>
          </c:cat>
          <c:val>
            <c:numRef>
              <c:f>'Global Overview'!$K$17:$K$26</c:f>
              <c:numCache/>
            </c:numRef>
          </c:val>
        </c:ser>
        <c:axId val="358934534"/>
        <c:axId val="89755462"/>
      </c:barChart>
      <c:catAx>
        <c:axId val="35893453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Composite Risk 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9755462"/>
      </c:catAx>
      <c:valAx>
        <c:axId val="897554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58934534"/>
        <c:crosses val="max"/>
      </c:valAx>
    </c:plotArea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Risk Tier Breakdown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'Global Overview'!$J$29</c:f>
            </c:strRef>
          </c:tx>
          <c:dPt>
            <c:idx val="0"/>
            <c:spPr>
              <a:solidFill>
                <a:srgbClr val="C00000"/>
              </a:solidFill>
            </c:spPr>
          </c:dPt>
          <c:dPt>
            <c:idx val="1"/>
            <c:spPr>
              <a:solidFill>
                <a:srgbClr val="FFC000"/>
              </a:solidFill>
            </c:spPr>
          </c:dPt>
          <c:dPt>
            <c:idx val="2"/>
            <c:spPr>
              <a:solidFill>
                <a:srgbClr val="70AD47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'Global Overview'!$I$30:$I$32</c:f>
            </c:strRef>
          </c:cat>
          <c:val>
            <c:numRef>
              <c:f>'Global Overview'!$J$30:$J$32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Wealth vs. Risk (GDP per Capita vs. Composite Risk Score)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East Asia &amp; Pacific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4472C4"/>
              </a:solidFill>
              <a:ln cmpd="sng">
                <a:solidFill>
                  <a:srgbClr val="4472C4"/>
                </a:solidFill>
              </a:ln>
            </c:spPr>
          </c:marker>
          <c:xVal>
            <c:numRef>
              <c:f>Calc_T1!$N$2:$N$36</c:f>
            </c:numRef>
          </c:xVal>
          <c:yVal>
            <c:numRef>
              <c:f>Calc_T1!$O$2:$O$36</c:f>
              <c:numCache/>
            </c:numRef>
          </c:yVal>
        </c:ser>
        <c:ser>
          <c:idx val="1"/>
          <c:order val="1"/>
          <c:tx>
            <c:v>Europe &amp; Central Asia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ED7D31"/>
              </a:solidFill>
              <a:ln cmpd="sng">
                <a:solidFill>
                  <a:srgbClr val="ED7D31"/>
                </a:solidFill>
              </a:ln>
            </c:spPr>
          </c:marker>
          <c:xVal>
            <c:numRef>
              <c:f>Calc_T1!$P$2:$P$36</c:f>
            </c:numRef>
          </c:xVal>
          <c:yVal>
            <c:numRef>
              <c:f>Calc_T1!$Q$2:$Q$36</c:f>
              <c:numCache/>
            </c:numRef>
          </c:yVal>
        </c:ser>
        <c:ser>
          <c:idx val="2"/>
          <c:order val="2"/>
          <c:tx>
            <c:v>Latin America &amp; Caribbean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A5A5A5"/>
              </a:solidFill>
              <a:ln cmpd="sng">
                <a:solidFill>
                  <a:srgbClr val="A5A5A5"/>
                </a:solidFill>
              </a:ln>
            </c:spPr>
          </c:marker>
          <c:xVal>
            <c:numRef>
              <c:f>Calc_T1!$R$2:$R$36</c:f>
            </c:numRef>
          </c:xVal>
          <c:yVal>
            <c:numRef>
              <c:f>Calc_T1!$S$2:$S$36</c:f>
              <c:numCache/>
            </c:numRef>
          </c:yVal>
        </c:ser>
        <c:ser>
          <c:idx val="3"/>
          <c:order val="3"/>
          <c:tx>
            <c:v>Middle East &amp; North Africa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C000"/>
              </a:solidFill>
              <a:ln cmpd="sng">
                <a:solidFill>
                  <a:srgbClr val="FFC000"/>
                </a:solidFill>
              </a:ln>
            </c:spPr>
          </c:marker>
          <c:xVal>
            <c:numRef>
              <c:f>Calc_T1!$T$2:$T$36</c:f>
            </c:numRef>
          </c:xVal>
          <c:yVal>
            <c:numRef>
              <c:f>Calc_T1!$U$2:$U$36</c:f>
              <c:numCache/>
            </c:numRef>
          </c:yVal>
        </c:ser>
        <c:ser>
          <c:idx val="4"/>
          <c:order val="4"/>
          <c:tx>
            <c:v>North America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B9BD5"/>
              </a:solidFill>
              <a:ln cmpd="sng">
                <a:solidFill>
                  <a:srgbClr val="5B9BD5"/>
                </a:solidFill>
              </a:ln>
            </c:spPr>
          </c:marker>
          <c:xVal>
            <c:numRef>
              <c:f>Calc_T1!$V$2:$V$36</c:f>
            </c:numRef>
          </c:xVal>
          <c:yVal>
            <c:numRef>
              <c:f>Calc_T1!$W$2:$W$36</c:f>
              <c:numCache/>
            </c:numRef>
          </c:yVal>
        </c:ser>
        <c:ser>
          <c:idx val="5"/>
          <c:order val="5"/>
          <c:tx>
            <c:v>South Asia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70AD47"/>
              </a:solidFill>
              <a:ln cmpd="sng">
                <a:solidFill>
                  <a:srgbClr val="70AD47"/>
                </a:solidFill>
              </a:ln>
            </c:spPr>
          </c:marker>
          <c:xVal>
            <c:numRef>
              <c:f>Calc_T1!$X$2:$X$36</c:f>
            </c:numRef>
          </c:xVal>
          <c:yVal>
            <c:numRef>
              <c:f>Calc_T1!$Y$2:$Y$36</c:f>
              <c:numCache/>
            </c:numRef>
          </c:yVal>
        </c:ser>
        <c:ser>
          <c:idx val="6"/>
          <c:order val="6"/>
          <c:tx>
            <c:v>Sub-Saharan Africa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  <a:ln cmpd="sng">
                <a:solidFill>
                  <a:srgbClr val="C00000"/>
                </a:solidFill>
              </a:ln>
            </c:spPr>
          </c:marker>
          <c:xVal>
            <c:numRef>
              <c:f>Calc_T1!$Z$2:$Z$36</c:f>
            </c:numRef>
          </c:xVal>
          <c:yVal>
            <c:numRef>
              <c:f>Calc_T1!$AA$2:$AA$36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475595"/>
        <c:axId val="292101158"/>
      </c:scatterChart>
      <c:valAx>
        <c:axId val="3274755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GDP per Capita (US$)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92101158"/>
      </c:valAx>
      <c:valAx>
        <c:axId val="292101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Composite Risk 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2747559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10-Year Global Risk Trend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Avg Composite Risk Score</c:v>
          </c:tx>
          <c:spPr>
            <a:ln cmpd="sng" w="19050">
              <a:solidFill>
                <a:srgbClr val="1F4E78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1F4E78">
                  <a:alpha val="100000"/>
                </a:srgbClr>
              </a:solidFill>
              <a:ln cmpd="sng">
                <a:solidFill>
                  <a:srgbClr val="1F4E78">
                    <a:alpha val="100000"/>
                  </a:srgbClr>
                </a:solidFill>
              </a:ln>
            </c:spPr>
          </c:marker>
          <c:cat>
            <c:strRef>
              <c:f>'Global Overview'!$B$57:$B$68</c:f>
            </c:strRef>
          </c:cat>
          <c:val>
            <c:numRef>
              <c:f>'Global Overview'!$C$57:$C$68</c:f>
              <c:numCache/>
            </c:numRef>
          </c:val>
          <c:smooth val="1"/>
        </c:ser>
        <c:axId val="973353333"/>
        <c:axId val="84636919"/>
      </c:lineChart>
      <c:catAx>
        <c:axId val="973353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4636919"/>
      </c:catAx>
      <c:valAx>
        <c:axId val="84636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Avg Composite Risk 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7335333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Governance Breakdown (End Year)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'Country Deep Dive'!$C$13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'Country Deep Dive'!$B$14:$B$17</c:f>
            </c:strRef>
          </c:cat>
          <c:val>
            <c:numRef>
              <c:f>'Country Deep Dive'!$C$14:$C$17</c:f>
              <c:numCache/>
            </c:numRef>
          </c:val>
          <c:smooth val="1"/>
        </c:ser>
        <c:axId val="321994576"/>
        <c:axId val="1198291832"/>
      </c:radarChart>
      <c:catAx>
        <c:axId val="32199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8291832"/>
      </c:catAx>
      <c:valAx>
        <c:axId val="1198291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99457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Country Risk Trend (2013-2024)</a:t>
            </a:r>
          </a:p>
        </c:rich>
      </c:tx>
      <c:layout>
        <c:manualLayout>
          <c:xMode val="edge"/>
          <c:yMode val="edge"/>
          <c:x val="0.13656050955414012"/>
          <c:y val="0.6364197530864197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v>Risk Score</c:v>
          </c:tx>
          <c:spPr>
            <a:ln cmpd="sng" w="19050">
              <a:solidFill>
                <a:srgbClr val="C00000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C00000">
                  <a:alpha val="100000"/>
                </a:srgbClr>
              </a:solidFill>
              <a:ln cmpd="sng">
                <a:solidFill>
                  <a:srgbClr val="C00000">
                    <a:alpha val="100000"/>
                  </a:srgbClr>
                </a:solidFill>
              </a:ln>
            </c:spPr>
          </c:marker>
          <c:cat>
            <c:strRef>
              <c:f>'Country Deep Dive'!$J$14:$J$25</c:f>
            </c:strRef>
          </c:cat>
          <c:val>
            <c:numRef>
              <c:f>'Country Deep Dive'!$K$14:$K$25</c:f>
              <c:numCache/>
            </c:numRef>
          </c:val>
          <c:smooth val="1"/>
        </c:ser>
        <c:axId val="810031679"/>
        <c:axId val="812752027"/>
      </c:lineChart>
      <c:catAx>
        <c:axId val="81003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12752027"/>
      </c:catAx>
      <c:valAx>
        <c:axId val="812752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Composite Risk 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1003167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Regional Peer Comparison (End Year)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Risk Score</c:v>
          </c:tx>
          <c:spPr>
            <a:solidFill>
              <a:srgbClr val="5B9BD5"/>
            </a:solidFill>
            <a:ln cmpd="sng">
              <a:noFill/>
            </a:ln>
          </c:spPr>
          <c:cat>
            <c:strRef>
              <c:f>'Country Deep Dive'!$B$46:$B$54</c:f>
            </c:strRef>
          </c:cat>
          <c:val>
            <c:numRef>
              <c:f>'Country Deep Dive'!$D$46:$D$54</c:f>
              <c:numCache/>
            </c:numRef>
          </c:val>
        </c:ser>
        <c:axId val="70062722"/>
        <c:axId val="623083736"/>
      </c:barChart>
      <c:catAx>
        <c:axId val="70062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23083736"/>
      </c:catAx>
      <c:valAx>
        <c:axId val="623083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Composite Risk 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0062722"/>
      </c:valAx>
    </c:plotArea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Pillar Scores Over Time (2013-2024)</a:t>
            </a:r>
          </a:p>
        </c:rich>
      </c:tx>
      <c:overlay val="0"/>
    </c:title>
    <c:plotArea>
      <c:layout/>
      <c:lineChart>
        <c:ser>
          <c:idx val="0"/>
          <c:order val="0"/>
          <c:tx>
            <c:v>Corruption</c:v>
          </c:tx>
          <c:spPr>
            <a:ln cmpd="sng" w="19050">
              <a:solidFill>
                <a:srgbClr val="C0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'Country Deep Dive'!$J$31:$J$42</c:f>
            </c:strRef>
          </c:cat>
          <c:val>
            <c:numRef>
              <c:f>'Country Deep Dive'!$K$31:$K$42</c:f>
              <c:numCache/>
            </c:numRef>
          </c:val>
          <c:smooth val="1"/>
        </c:ser>
        <c:ser>
          <c:idx val="1"/>
          <c:order val="1"/>
          <c:tx>
            <c:v>Rule of Law</c:v>
          </c:tx>
          <c:spPr>
            <a:ln cmpd="sng" w="19050">
              <a:solidFill>
                <a:srgbClr val="FFC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'Country Deep Dive'!$J$31:$J$42</c:f>
            </c:strRef>
          </c:cat>
          <c:val>
            <c:numRef>
              <c:f>'Country Deep Dive'!$L$31:$L$42</c:f>
              <c:numCache/>
            </c:numRef>
          </c:val>
          <c:smooth val="1"/>
        </c:ser>
        <c:ser>
          <c:idx val="2"/>
          <c:order val="2"/>
          <c:tx>
            <c:v>Reg. Quality</c:v>
          </c:tx>
          <c:spPr>
            <a:ln cmpd="sng" w="19050">
              <a:solidFill>
                <a:srgbClr val="70AD47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'Country Deep Dive'!$J$31:$J$42</c:f>
            </c:strRef>
          </c:cat>
          <c:val>
            <c:numRef>
              <c:f>'Country Deep Dive'!$M$31:$M$42</c:f>
              <c:numCache/>
            </c:numRef>
          </c:val>
          <c:smooth val="1"/>
        </c:ser>
        <c:ser>
          <c:idx val="3"/>
          <c:order val="3"/>
          <c:tx>
            <c:v>Pol. Stability</c:v>
          </c:tx>
          <c:spPr>
            <a:ln cmpd="sng" w="19050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'Country Deep Dive'!$J$31:$J$42</c:f>
            </c:strRef>
          </c:cat>
          <c:val>
            <c:numRef>
              <c:f>'Country Deep Dive'!$N$31:$N$42</c:f>
              <c:numCache/>
            </c:numRef>
          </c:val>
          <c:smooth val="1"/>
        </c:ser>
        <c:axId val="2021863396"/>
        <c:axId val="1743246970"/>
      </c:lineChart>
      <c:catAx>
        <c:axId val="20218633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43246970"/>
      </c:catAx>
      <c:valAx>
        <c:axId val="17432469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Score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2186339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35</xdr:row>
      <xdr:rowOff>19050</xdr:rowOff>
    </xdr:from>
    <xdr:ext cx="7810500" cy="29908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647700</xdr:colOff>
      <xdr:row>21</xdr:row>
      <xdr:rowOff>66675</xdr:rowOff>
    </xdr:from>
    <xdr:ext cx="3343275" cy="25146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38100</xdr:colOff>
      <xdr:row>51</xdr:row>
      <xdr:rowOff>19050</xdr:rowOff>
    </xdr:from>
    <xdr:ext cx="8315325" cy="31718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0</xdr:colOff>
      <xdr:row>69</xdr:row>
      <xdr:rowOff>0</xdr:rowOff>
    </xdr:from>
    <xdr:ext cx="13649325" cy="33813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</xdr:colOff>
      <xdr:row>8</xdr:row>
      <xdr:rowOff>0</xdr:rowOff>
    </xdr:from>
    <xdr:ext cx="3714750" cy="27336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38100</xdr:colOff>
      <xdr:row>11</xdr:row>
      <xdr:rowOff>161925</xdr:rowOff>
    </xdr:from>
    <xdr:ext cx="7477125" cy="30861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9525</xdr:colOff>
      <xdr:row>42</xdr:row>
      <xdr:rowOff>0</xdr:rowOff>
    </xdr:from>
    <xdr:ext cx="7439025" cy="25241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28575</xdr:colOff>
      <xdr:row>24</xdr:row>
      <xdr:rowOff>190500</xdr:rowOff>
    </xdr:from>
    <xdr:ext cx="7477125" cy="32289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 fitToPage="1"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3.0"/>
    <col customWidth="1" min="3" max="3" width="25.43"/>
    <col customWidth="1" min="4" max="4" width="23.86"/>
    <col customWidth="1" min="5" max="5" width="13.0"/>
    <col customWidth="1" min="6" max="6" width="12.14"/>
    <col customWidth="1" min="7" max="7" width="13.0"/>
    <col customWidth="1" min="8" max="8" width="0.43"/>
    <col customWidth="1" min="9" max="9" width="13.0"/>
    <col customWidth="1" min="10" max="10" width="17.71"/>
    <col customWidth="1" min="11" max="19" width="13.0"/>
    <col customWidth="1" min="20" max="26" width="8.71"/>
  </cols>
  <sheetData>
    <row r="1" ht="25.5" customHeight="1">
      <c r="A1" s="2"/>
      <c r="B1" s="3" t="s">
        <v>98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</row>
    <row r="2" ht="15.75" customHeight="1">
      <c r="A2" s="2"/>
      <c r="B2" s="6" t="s">
        <v>115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ht="15.0" customHeight="1">
      <c r="A4" s="2"/>
      <c r="B4" s="7" t="s">
        <v>100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.5" customHeight="1">
      <c r="A5" s="2"/>
      <c r="B5" s="8" t="s">
        <v>117</v>
      </c>
      <c r="C5" s="9" t="s">
        <v>118</v>
      </c>
      <c r="D5" s="2"/>
      <c r="E5" s="8" t="s">
        <v>120</v>
      </c>
      <c r="F5" s="9" t="s">
        <v>121</v>
      </c>
      <c r="G5" s="2"/>
      <c r="H5" s="8" t="s">
        <v>122</v>
      </c>
      <c r="I5" s="9">
        <v>2015.0</v>
      </c>
      <c r="J5" s="2"/>
      <c r="K5" s="2"/>
      <c r="L5" s="2"/>
      <c r="M5" s="2"/>
      <c r="N5" s="2"/>
      <c r="O5" s="2"/>
      <c r="P5" s="2"/>
      <c r="Q5" s="2"/>
      <c r="R5" s="2"/>
      <c r="S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ht="21.75" customHeight="1">
      <c r="A7" s="2"/>
      <c r="B7" s="11" t="s">
        <v>123</v>
      </c>
      <c r="C7" s="12"/>
      <c r="D7" s="13"/>
      <c r="E7" s="11" t="s">
        <v>124</v>
      </c>
      <c r="F7" s="12"/>
      <c r="G7" s="13"/>
      <c r="H7" s="11" t="s">
        <v>125</v>
      </c>
      <c r="I7" s="12"/>
      <c r="J7" s="13"/>
      <c r="K7" s="11" t="s">
        <v>126</v>
      </c>
      <c r="L7" s="12"/>
      <c r="M7" s="13"/>
      <c r="N7" s="2"/>
      <c r="O7" s="2"/>
      <c r="P7" s="2"/>
      <c r="Q7" s="2"/>
      <c r="R7" s="2"/>
      <c r="S7" s="2"/>
    </row>
    <row r="8" ht="30.0" customHeight="1">
      <c r="A8" s="2"/>
      <c r="B8" s="14">
        <f>COUNTIF(Calc_T1!$D$2:$D$36,TRUE())</f>
        <v>35</v>
      </c>
      <c r="C8" s="12"/>
      <c r="D8" s="13"/>
      <c r="E8" s="14">
        <f>ROUND(AVERAGE(Calc_T1!$K$2:$K$36),1)</f>
        <v>43.8</v>
      </c>
      <c r="F8" s="12"/>
      <c r="G8" s="13"/>
      <c r="H8" s="14">
        <f>COUNTIFS(Calc_T1!$D$2:$D$36,TRUE(),Calc_T1!$J$2:$J$36,"High Risk")</f>
        <v>2</v>
      </c>
      <c r="I8" s="12"/>
      <c r="J8" s="13"/>
      <c r="K8" s="14" t="str">
        <f t="array" ref="K8">IFERROR(INDEX(Calc_T1!$A$2:$A$36,MATCH(MIN(Calc_T1!$K$2:$K$36),Calc_T1!$K$2:$K$36,0)),"n/a")</f>
        <v>Canada</v>
      </c>
      <c r="L8" s="12"/>
      <c r="M8" s="13"/>
      <c r="N8" s="2"/>
      <c r="O8" s="2"/>
      <c r="P8" s="2"/>
      <c r="Q8" s="2"/>
      <c r="R8" s="2"/>
      <c r="S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ht="21.75" customHeight="1">
      <c r="A10" s="2"/>
      <c r="B10" s="11" t="s">
        <v>127</v>
      </c>
      <c r="C10" s="12"/>
      <c r="D10" s="13"/>
      <c r="E10" s="11" t="s">
        <v>128</v>
      </c>
      <c r="F10" s="12"/>
      <c r="G10" s="12"/>
      <c r="H10" s="13"/>
      <c r="I10" s="11" t="s">
        <v>129</v>
      </c>
      <c r="J10" s="12"/>
      <c r="K10" s="12"/>
      <c r="L10" s="12"/>
      <c r="M10" s="13"/>
      <c r="N10" s="2"/>
      <c r="O10" s="2"/>
      <c r="P10" s="2"/>
      <c r="Q10" s="2"/>
      <c r="R10" s="2"/>
      <c r="S10" s="2"/>
    </row>
    <row r="11" ht="30.0" customHeight="1">
      <c r="A11" s="2"/>
      <c r="B11" s="14" t="str">
        <f t="array" ref="B11">IFERROR(INDEX(Calc_T1!$A$2:$A$36,MATCH(MAX(Calc_T1!$K$2:$K$36),Calc_T1!$K$2:$K$36,0)),"n/a")</f>
        <v>Congo, Dem. Rep.</v>
      </c>
      <c r="C11" s="12"/>
      <c r="D11" s="13"/>
      <c r="E11" s="14" t="str">
        <f t="array" ref="E11">IFERROR(INDEX(Calc_T1!$A$2:$A$36,MATCH(MIN(Calc_T1!$I$2:$I$36),Calc_T1!$I$2:$I$36,0))&amp;"  ("&amp;TEXT(MIN(Calc_T1!$I$2:$I$36),"+0.0;-0.0")&amp;")","n/a")</f>
        <v>Saudi Arabia  (-10.8)</v>
      </c>
      <c r="F11" s="12"/>
      <c r="G11" s="12"/>
      <c r="H11" s="13"/>
      <c r="I11" s="14" t="str">
        <f t="array" ref="I11">IFERROR(INDEX(Calc_T1!$A$2:$A$36,MATCH(MAX(Calc_T1!$I$2:$I$36),Calc_T1!$I$2:$I$36,0))&amp;"  ("&amp;TEXT(MAX(Calc_T1!$I$2:$I$36),"+0.0;-0.0")&amp;")","n/a")</f>
        <v>Turkiye  (+9.2)</v>
      </c>
      <c r="J11" s="12"/>
      <c r="K11" s="12"/>
      <c r="L11" s="12"/>
      <c r="M11" s="13"/>
      <c r="N11" s="2"/>
      <c r="O11" s="2"/>
      <c r="P11" s="2"/>
      <c r="Q11" s="2"/>
      <c r="R11" s="2"/>
      <c r="S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15.0" customHeight="1">
      <c r="A13" s="2"/>
      <c r="B13" s="16" t="s">
        <v>130</v>
      </c>
      <c r="C13" s="2"/>
      <c r="D13" s="2"/>
      <c r="E13" s="2"/>
      <c r="F13" s="2"/>
      <c r="G13" s="2"/>
      <c r="H13" s="2"/>
      <c r="I13" s="16" t="s">
        <v>131</v>
      </c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.5" customHeight="1">
      <c r="A14" s="2"/>
      <c r="B14" s="17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5.0" customHeight="1">
      <c r="A16" s="2"/>
      <c r="B16" s="18" t="s">
        <v>136</v>
      </c>
      <c r="C16" s="18" t="s">
        <v>137</v>
      </c>
      <c r="D16" s="18" t="s">
        <v>2</v>
      </c>
      <c r="E16" s="18" t="s">
        <v>138</v>
      </c>
      <c r="F16" s="18" t="s">
        <v>139</v>
      </c>
      <c r="G16" s="2"/>
      <c r="H16" s="2"/>
      <c r="I16" s="18" t="s">
        <v>136</v>
      </c>
      <c r="J16" s="18" t="s">
        <v>137</v>
      </c>
      <c r="K16" s="18" t="s">
        <v>112</v>
      </c>
      <c r="L16" s="2"/>
      <c r="M16" s="2"/>
      <c r="N16" s="2"/>
      <c r="O16" s="2"/>
      <c r="P16" s="2"/>
      <c r="Q16" s="2"/>
      <c r="R16" s="2"/>
      <c r="S16" s="2"/>
    </row>
    <row r="17" ht="15.0" customHeight="1">
      <c r="A17" s="2"/>
      <c r="B17" s="19">
        <v>1.0</v>
      </c>
      <c r="C17" s="19" t="str">
        <f t="array" ref="C17">IFERROR(INDEX(Calc_T1!$A$2:$A$36,MATCH($B17,Calc_T1!$M$2:$M$36,0)),"")</f>
        <v>Congo, Dem. Rep.</v>
      </c>
      <c r="D17" s="19" t="str">
        <f t="array" ref="D17">IFERROR(INDEX(Calc_T1!$B$2:$B$36,MATCH($B17,Calc_T1!$M$2:$M$36,0)),"")</f>
        <v>Sub-Saharan Africa</v>
      </c>
      <c r="E17" s="19">
        <f t="array" ref="E17">IFERROR(INDEX(Calc_T1!$K$2:$K$36,MATCH($B17,Calc_T1!$M$2:$M$36,0)),"")</f>
        <v>70.99</v>
      </c>
      <c r="F17" s="19" t="str">
        <f t="array" ref="F17">IFERROR(INDEX(Calc_T1!$J$2:$J$36,MATCH($B17,Calc_T1!$M$2:$M$36,0)),"")</f>
        <v>High Risk</v>
      </c>
      <c r="G17" s="2"/>
      <c r="H17" s="2"/>
      <c r="I17" s="19">
        <v>1.0</v>
      </c>
      <c r="J17" s="19" t="str">
        <f t="array" ref="J17">IFERROR(INDEX(Calc_T1!$A$2:$A$36,MATCH($I17,Calc_T1!$M$2:$M$36,0)),"")</f>
        <v>Congo, Dem. Rep.</v>
      </c>
      <c r="K17" s="19">
        <f t="array" ref="K17">IFERROR(INDEX(Calc_T1!$K$2:$K$36,MATCH($I17,Calc_T1!$M$2:$M$36,0)),"")</f>
        <v>70.99</v>
      </c>
      <c r="L17" s="2"/>
      <c r="M17" s="2"/>
      <c r="N17" s="2"/>
      <c r="O17" s="2"/>
      <c r="P17" s="2"/>
      <c r="Q17" s="2"/>
      <c r="R17" s="2"/>
      <c r="S17" s="2"/>
    </row>
    <row r="18" ht="15.0" customHeight="1">
      <c r="A18" s="2"/>
      <c r="B18" s="19">
        <v>2.0</v>
      </c>
      <c r="C18" s="19" t="str">
        <f t="array" ref="C18">IFERROR(INDEX(Calc_T1!$A$2:$A$36,MATCH($B18,Calc_T1!$M$2:$M$36,0)),"")</f>
        <v>Pakistan</v>
      </c>
      <c r="D18" s="19" t="str">
        <f t="array" ref="D18">IFERROR(INDEX(Calc_T1!$B$2:$B$36,MATCH($B18,Calc_T1!$M$2:$M$36,0)),"")</f>
        <v>South Asia</v>
      </c>
      <c r="E18" s="19">
        <f t="array" ref="E18">IFERROR(INDEX(Calc_T1!$K$2:$K$36,MATCH($B18,Calc_T1!$M$2:$M$36,0)),"")</f>
        <v>65.59</v>
      </c>
      <c r="F18" s="19" t="str">
        <f t="array" ref="F18">IFERROR(INDEX(Calc_T1!$J$2:$J$36,MATCH($B18,Calc_T1!$M$2:$M$36,0)),"")</f>
        <v>High Risk</v>
      </c>
      <c r="G18" s="2"/>
      <c r="H18" s="2"/>
      <c r="I18" s="19">
        <v>2.0</v>
      </c>
      <c r="J18" s="19" t="str">
        <f t="array" ref="J18">IFERROR(INDEX(Calc_T1!$A$2:$A$36,MATCH($I18,Calc_T1!$M$2:$M$36,0)),"")</f>
        <v>Pakistan</v>
      </c>
      <c r="K18" s="19">
        <f t="array" ref="K18">IFERROR(INDEX(Calc_T1!$K$2:$K$36,MATCH($I18,Calc_T1!$M$2:$M$36,0)),"")</f>
        <v>65.59</v>
      </c>
      <c r="L18" s="2"/>
      <c r="M18" s="2"/>
      <c r="N18" s="2"/>
      <c r="O18" s="2"/>
      <c r="P18" s="2"/>
      <c r="Q18" s="2"/>
      <c r="R18" s="2"/>
      <c r="S18" s="2"/>
    </row>
    <row r="19" ht="15.0" customHeight="1">
      <c r="A19" s="2"/>
      <c r="B19" s="19">
        <v>3.0</v>
      </c>
      <c r="C19" s="19" t="str">
        <f t="array" ref="C19">IFERROR(INDEX(Calc_T1!$A$2:$A$36,MATCH($B19,Calc_T1!$M$2:$M$36,0)),"")</f>
        <v>Nigeria</v>
      </c>
      <c r="D19" s="19" t="str">
        <f t="array" ref="D19">IFERROR(INDEX(Calc_T1!$B$2:$B$36,MATCH($B19,Calc_T1!$M$2:$M$36,0)),"")</f>
        <v>Sub-Saharan Africa</v>
      </c>
      <c r="E19" s="19">
        <f t="array" ref="E19">IFERROR(INDEX(Calc_T1!$K$2:$K$36,MATCH($B19,Calc_T1!$M$2:$M$36,0)),"")</f>
        <v>63.66</v>
      </c>
      <c r="F19" s="19" t="str">
        <f t="array" ref="F19">IFERROR(INDEX(Calc_T1!$J$2:$J$36,MATCH($B19,Calc_T1!$M$2:$M$36,0)),"")</f>
        <v>Medium Risk</v>
      </c>
      <c r="G19" s="2"/>
      <c r="H19" s="2"/>
      <c r="I19" s="19">
        <v>3.0</v>
      </c>
      <c r="J19" s="19" t="str">
        <f t="array" ref="J19">IFERROR(INDEX(Calc_T1!$A$2:$A$36,MATCH($I19,Calc_T1!$M$2:$M$36,0)),"")</f>
        <v>Nigeria</v>
      </c>
      <c r="K19" s="19">
        <f t="array" ref="K19">IFERROR(INDEX(Calc_T1!$K$2:$K$36,MATCH($I19,Calc_T1!$M$2:$M$36,0)),"")</f>
        <v>63.66</v>
      </c>
      <c r="L19" s="2"/>
      <c r="M19" s="2"/>
      <c r="N19" s="2"/>
      <c r="O19" s="2"/>
      <c r="P19" s="2"/>
      <c r="Q19" s="2"/>
      <c r="R19" s="2"/>
      <c r="S19" s="2"/>
    </row>
    <row r="20" ht="15.0" customHeight="1">
      <c r="A20" s="2"/>
      <c r="B20" s="19">
        <v>4.0</v>
      </c>
      <c r="C20" s="19" t="str">
        <f t="array" ref="C20">IFERROR(INDEX(Calc_T1!$A$2:$A$36,MATCH($B20,Calc_T1!$M$2:$M$36,0)),"")</f>
        <v>Bangladesh</v>
      </c>
      <c r="D20" s="19" t="str">
        <f t="array" ref="D20">IFERROR(INDEX(Calc_T1!$B$2:$B$36,MATCH($B20,Calc_T1!$M$2:$M$36,0)),"")</f>
        <v>South Asia</v>
      </c>
      <c r="E20" s="19">
        <f t="array" ref="E20">IFERROR(INDEX(Calc_T1!$K$2:$K$36,MATCH($B20,Calc_T1!$M$2:$M$36,0)),"")</f>
        <v>61.51</v>
      </c>
      <c r="F20" s="19" t="str">
        <f t="array" ref="F20">IFERROR(INDEX(Calc_T1!$J$2:$J$36,MATCH($B20,Calc_T1!$M$2:$M$36,0)),"")</f>
        <v>Medium Risk</v>
      </c>
      <c r="G20" s="2"/>
      <c r="H20" s="2"/>
      <c r="I20" s="19">
        <v>4.0</v>
      </c>
      <c r="J20" s="19" t="str">
        <f t="array" ref="J20">IFERROR(INDEX(Calc_T1!$A$2:$A$36,MATCH($I20,Calc_T1!$M$2:$M$36,0)),"")</f>
        <v>Bangladesh</v>
      </c>
      <c r="K20" s="19">
        <f t="array" ref="K20">IFERROR(INDEX(Calc_T1!$K$2:$K$36,MATCH($I20,Calc_T1!$M$2:$M$36,0)),"")</f>
        <v>61.51</v>
      </c>
      <c r="L20" s="2"/>
      <c r="M20" s="2"/>
      <c r="N20" s="2"/>
      <c r="O20" s="2"/>
      <c r="P20" s="2"/>
      <c r="Q20" s="2"/>
      <c r="R20" s="2"/>
      <c r="S20" s="2"/>
    </row>
    <row r="21" ht="15.0" customHeight="1">
      <c r="A21" s="2"/>
      <c r="B21" s="19">
        <v>5.0</v>
      </c>
      <c r="C21" s="19" t="str">
        <f t="array" ref="C21">IFERROR(INDEX(Calc_T1!$A$2:$A$36,MATCH($B21,Calc_T1!$M$2:$M$36,0)),"")</f>
        <v>Egypt, Arab Rep.</v>
      </c>
      <c r="D21" s="19" t="str">
        <f t="array" ref="D21">IFERROR(INDEX(Calc_T1!$B$2:$B$36,MATCH($B21,Calc_T1!$M$2:$M$36,0)),"")</f>
        <v>Middle East &amp; North Africa</v>
      </c>
      <c r="E21" s="19">
        <f t="array" ref="E21">IFERROR(INDEX(Calc_T1!$K$2:$K$36,MATCH($B21,Calc_T1!$M$2:$M$36,0)),"")</f>
        <v>59.45</v>
      </c>
      <c r="F21" s="19" t="str">
        <f t="array" ref="F21">IFERROR(INDEX(Calc_T1!$J$2:$J$36,MATCH($B21,Calc_T1!$M$2:$M$36,0)),"")</f>
        <v>Medium Risk</v>
      </c>
      <c r="G21" s="2"/>
      <c r="H21" s="2"/>
      <c r="I21" s="19">
        <v>5.0</v>
      </c>
      <c r="J21" s="19" t="str">
        <f t="array" ref="J21">IFERROR(INDEX(Calc_T1!$A$2:$A$36,MATCH($I21,Calc_T1!$M$2:$M$36,0)),"")</f>
        <v>Egypt, Arab Rep.</v>
      </c>
      <c r="K21" s="19">
        <f t="array" ref="K21">IFERROR(INDEX(Calc_T1!$K$2:$K$36,MATCH($I21,Calc_T1!$M$2:$M$36,0)),"")</f>
        <v>59.45</v>
      </c>
      <c r="L21" s="2"/>
      <c r="M21" s="2"/>
      <c r="N21" s="2"/>
      <c r="O21" s="2"/>
      <c r="P21" s="2"/>
      <c r="Q21" s="2"/>
      <c r="R21" s="2"/>
      <c r="S21" s="2"/>
    </row>
    <row r="22" ht="15.0" customHeight="1">
      <c r="A22" s="2"/>
      <c r="B22" s="19">
        <v>6.0</v>
      </c>
      <c r="C22" s="19" t="str">
        <f t="array" ref="C22">IFERROR(INDEX(Calc_T1!$A$2:$A$36,MATCH($B22,Calc_T1!$M$2:$M$36,0)),"")</f>
        <v>Iran, Islamic Rep.</v>
      </c>
      <c r="D22" s="19" t="str">
        <f t="array" ref="D22">IFERROR(INDEX(Calc_T1!$B$2:$B$36,MATCH($B22,Calc_T1!$M$2:$M$36,0)),"")</f>
        <v>Middle East &amp; North Africa</v>
      </c>
      <c r="E22" s="19">
        <f t="array" ref="E22">IFERROR(INDEX(Calc_T1!$K$2:$K$36,MATCH($B22,Calc_T1!$M$2:$M$36,0)),"")</f>
        <v>59.31</v>
      </c>
      <c r="F22" s="19" t="str">
        <f t="array" ref="F22">IFERROR(INDEX(Calc_T1!$J$2:$J$36,MATCH($B22,Calc_T1!$M$2:$M$36,0)),"")</f>
        <v>Medium Risk</v>
      </c>
      <c r="G22" s="2"/>
      <c r="H22" s="2"/>
      <c r="I22" s="19">
        <v>6.0</v>
      </c>
      <c r="J22" s="19" t="str">
        <f t="array" ref="J22">IFERROR(INDEX(Calc_T1!$A$2:$A$36,MATCH($I22,Calc_T1!$M$2:$M$36,0)),"")</f>
        <v>Iran, Islamic Rep.</v>
      </c>
      <c r="K22" s="19">
        <f t="array" ref="K22">IFERROR(INDEX(Calc_T1!$K$2:$K$36,MATCH($I22,Calc_T1!$M$2:$M$36,0)),"")</f>
        <v>59.31</v>
      </c>
      <c r="L22" s="2"/>
      <c r="M22" s="2"/>
      <c r="N22" s="2"/>
      <c r="O22" s="2"/>
      <c r="P22" s="2"/>
      <c r="Q22" s="2"/>
      <c r="R22" s="2"/>
      <c r="S22" s="2"/>
    </row>
    <row r="23" ht="15.0" customHeight="1">
      <c r="A23" s="2"/>
      <c r="B23" s="19">
        <v>7.0</v>
      </c>
      <c r="C23" s="19" t="str">
        <f t="array" ref="C23">IFERROR(INDEX(Calc_T1!$A$2:$A$36,MATCH($B23,Calc_T1!$M$2:$M$36,0)),"")</f>
        <v>Ethiopia</v>
      </c>
      <c r="D23" s="19" t="str">
        <f t="array" ref="D23">IFERROR(INDEX(Calc_T1!$B$2:$B$36,MATCH($B23,Calc_T1!$M$2:$M$36,0)),"")</f>
        <v>Sub-Saharan Africa</v>
      </c>
      <c r="E23" s="19">
        <f t="array" ref="E23">IFERROR(INDEX(Calc_T1!$K$2:$K$36,MATCH($B23,Calc_T1!$M$2:$M$36,0)),"")</f>
        <v>58.66</v>
      </c>
      <c r="F23" s="19" t="str">
        <f t="array" ref="F23">IFERROR(INDEX(Calc_T1!$J$2:$J$36,MATCH($B23,Calc_T1!$M$2:$M$36,0)),"")</f>
        <v>Medium Risk</v>
      </c>
      <c r="G23" s="2"/>
      <c r="H23" s="2"/>
      <c r="I23" s="19">
        <v>7.0</v>
      </c>
      <c r="J23" s="19" t="str">
        <f t="array" ref="J23">IFERROR(INDEX(Calc_T1!$A$2:$A$36,MATCH($I23,Calc_T1!$M$2:$M$36,0)),"")</f>
        <v>Ethiopia</v>
      </c>
      <c r="K23" s="19">
        <f t="array" ref="K23">IFERROR(INDEX(Calc_T1!$K$2:$K$36,MATCH($I23,Calc_T1!$M$2:$M$36,0)),"")</f>
        <v>58.66</v>
      </c>
      <c r="L23" s="2"/>
      <c r="M23" s="2"/>
      <c r="N23" s="2"/>
      <c r="O23" s="2"/>
      <c r="P23" s="2"/>
      <c r="Q23" s="2"/>
      <c r="R23" s="2"/>
      <c r="S23" s="2"/>
    </row>
    <row r="24" ht="15.0" customHeight="1">
      <c r="A24" s="2"/>
      <c r="B24" s="19">
        <v>8.0</v>
      </c>
      <c r="C24" s="19" t="str">
        <f t="array" ref="C24">IFERROR(INDEX(Calc_T1!$A$2:$A$36,MATCH($B24,Calc_T1!$M$2:$M$36,0)),"")</f>
        <v>Kenya</v>
      </c>
      <c r="D24" s="19" t="str">
        <f t="array" ref="D24">IFERROR(INDEX(Calc_T1!$B$2:$B$36,MATCH($B24,Calc_T1!$M$2:$M$36,0)),"")</f>
        <v>Sub-Saharan Africa</v>
      </c>
      <c r="E24" s="19">
        <f t="array" ref="E24">IFERROR(INDEX(Calc_T1!$K$2:$K$36,MATCH($B24,Calc_T1!$M$2:$M$36,0)),"")</f>
        <v>57.68</v>
      </c>
      <c r="F24" s="19" t="str">
        <f t="array" ref="F24">IFERROR(INDEX(Calc_T1!$J$2:$J$36,MATCH($B24,Calc_T1!$M$2:$M$36,0)),"")</f>
        <v>Medium Risk</v>
      </c>
      <c r="G24" s="2"/>
      <c r="H24" s="2"/>
      <c r="I24" s="19">
        <v>8.0</v>
      </c>
      <c r="J24" s="19" t="str">
        <f t="array" ref="J24">IFERROR(INDEX(Calc_T1!$A$2:$A$36,MATCH($I24,Calc_T1!$M$2:$M$36,0)),"")</f>
        <v>Kenya</v>
      </c>
      <c r="K24" s="19">
        <f t="array" ref="K24">IFERROR(INDEX(Calc_T1!$K$2:$K$36,MATCH($I24,Calc_T1!$M$2:$M$36,0)),"")</f>
        <v>57.68</v>
      </c>
      <c r="L24" s="2"/>
      <c r="M24" s="2"/>
      <c r="N24" s="2"/>
      <c r="O24" s="2"/>
      <c r="P24" s="2"/>
      <c r="Q24" s="2"/>
      <c r="R24" s="2"/>
      <c r="S24" s="2"/>
    </row>
    <row r="25" ht="15.0" customHeight="1">
      <c r="A25" s="2"/>
      <c r="B25" s="19">
        <v>9.0</v>
      </c>
      <c r="C25" s="19" t="str">
        <f t="array" ref="C25">IFERROR(INDEX(Calc_T1!$A$2:$A$36,MATCH($B25,Calc_T1!$M$2:$M$36,0)),"")</f>
        <v>Russian Federation</v>
      </c>
      <c r="D25" s="19" t="str">
        <f t="array" ref="D25">IFERROR(INDEX(Calc_T1!$B$2:$B$36,MATCH($B25,Calc_T1!$M$2:$M$36,0)),"")</f>
        <v>Europe &amp; Central Asia</v>
      </c>
      <c r="E25" s="19">
        <f t="array" ref="E25">IFERROR(INDEX(Calc_T1!$K$2:$K$36,MATCH($B25,Calc_T1!$M$2:$M$36,0)),"")</f>
        <v>57.55</v>
      </c>
      <c r="F25" s="19" t="str">
        <f t="array" ref="F25">IFERROR(INDEX(Calc_T1!$J$2:$J$36,MATCH($B25,Calc_T1!$M$2:$M$36,0)),"")</f>
        <v>Medium Risk</v>
      </c>
      <c r="G25" s="2"/>
      <c r="H25" s="2"/>
      <c r="I25" s="19">
        <v>9.0</v>
      </c>
      <c r="J25" s="19" t="str">
        <f t="array" ref="J25">IFERROR(INDEX(Calc_T1!$A$2:$A$36,MATCH($I25,Calc_T1!$M$2:$M$36,0)),"")</f>
        <v>Russian Federation</v>
      </c>
      <c r="K25" s="19">
        <f t="array" ref="K25">IFERROR(INDEX(Calc_T1!$K$2:$K$36,MATCH($I25,Calc_T1!$M$2:$M$36,0)),"")</f>
        <v>57.55</v>
      </c>
      <c r="L25" s="2"/>
      <c r="M25" s="2"/>
      <c r="N25" s="2"/>
      <c r="O25" s="2"/>
      <c r="P25" s="2"/>
      <c r="Q25" s="2"/>
      <c r="R25" s="2"/>
      <c r="S25" s="2"/>
    </row>
    <row r="26" ht="15.0" customHeight="1">
      <c r="A26" s="2"/>
      <c r="B26" s="19">
        <v>10.0</v>
      </c>
      <c r="C26" s="19" t="str">
        <f t="array" ref="C26">IFERROR(INDEX(Calc_T1!$A$2:$A$36,MATCH($B26,Calc_T1!$M$2:$M$36,0)),"")</f>
        <v>Mexico</v>
      </c>
      <c r="D26" s="19" t="str">
        <f t="array" ref="D26">IFERROR(INDEX(Calc_T1!$B$2:$B$36,MATCH($B26,Calc_T1!$M$2:$M$36,0)),"")</f>
        <v>Latin America &amp; Caribbean</v>
      </c>
      <c r="E26" s="19">
        <f t="array" ref="E26">IFERROR(INDEX(Calc_T1!$K$2:$K$36,MATCH($B26,Calc_T1!$M$2:$M$36,0)),"")</f>
        <v>53.89</v>
      </c>
      <c r="F26" s="19" t="str">
        <f t="array" ref="F26">IFERROR(INDEX(Calc_T1!$J$2:$J$36,MATCH($B26,Calc_T1!$M$2:$M$36,0)),"")</f>
        <v>Medium Risk</v>
      </c>
      <c r="G26" s="2"/>
      <c r="H26" s="2"/>
      <c r="I26" s="19">
        <v>10.0</v>
      </c>
      <c r="J26" s="19" t="str">
        <f t="array" ref="J26">IFERROR(INDEX(Calc_T1!$A$2:$A$36,MATCH($I26,Calc_T1!$M$2:$M$36,0)),"")</f>
        <v>Mexico</v>
      </c>
      <c r="K26" s="19">
        <f t="array" ref="K26">IFERROR(INDEX(Calc_T1!$K$2:$K$36,MATCH($I26,Calc_T1!$M$2:$M$36,0)),"")</f>
        <v>53.89</v>
      </c>
      <c r="L26" s="2"/>
      <c r="M26" s="2"/>
      <c r="N26" s="2"/>
      <c r="O26" s="2"/>
      <c r="P26" s="2"/>
      <c r="Q26" s="2"/>
      <c r="R26" s="2"/>
      <c r="S26" s="2"/>
    </row>
    <row r="27" ht="15.0" customHeight="1">
      <c r="A27" s="2"/>
      <c r="B27" s="19">
        <v>11.0</v>
      </c>
      <c r="C27" s="19" t="str">
        <f t="array" ref="C27">IFERROR(INDEX(Calc_T1!$A$2:$A$36,MATCH($B27,Calc_T1!$M$2:$M$36,0)),"")</f>
        <v>Argentina</v>
      </c>
      <c r="D27" s="19" t="str">
        <f t="array" ref="D27">IFERROR(INDEX(Calc_T1!$B$2:$B$36,MATCH($B27,Calc_T1!$M$2:$M$36,0)),"")</f>
        <v>Latin America &amp; Caribbean</v>
      </c>
      <c r="E27" s="19">
        <f t="array" ref="E27">IFERROR(INDEX(Calc_T1!$K$2:$K$36,MATCH($B27,Calc_T1!$M$2:$M$36,0)),"")</f>
        <v>52.16</v>
      </c>
      <c r="F27" s="19" t="str">
        <f t="array" ref="F27">IFERROR(INDEX(Calc_T1!$J$2:$J$36,MATCH($B27,Calc_T1!$M$2:$M$36,0)),"")</f>
        <v>Medium Risk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ht="15.0" customHeight="1">
      <c r="A28" s="2"/>
      <c r="B28" s="19">
        <v>12.0</v>
      </c>
      <c r="C28" s="19" t="str">
        <f t="array" ref="C28">IFERROR(INDEX(Calc_T1!$A$2:$A$36,MATCH($B28,Calc_T1!$M$2:$M$36,0)),"")</f>
        <v>Philippines</v>
      </c>
      <c r="D28" s="19" t="str">
        <f t="array" ref="D28">IFERROR(INDEX(Calc_T1!$B$2:$B$36,MATCH($B28,Calc_T1!$M$2:$M$36,0)),"")</f>
        <v>East Asia &amp; Pacific</v>
      </c>
      <c r="E28" s="19">
        <f t="array" ref="E28">IFERROR(INDEX(Calc_T1!$K$2:$K$36,MATCH($B28,Calc_T1!$M$2:$M$36,0)),"")</f>
        <v>52.06</v>
      </c>
      <c r="F28" s="19" t="str">
        <f t="array" ref="F28">IFERROR(INDEX(Calc_T1!$J$2:$J$36,MATCH($B28,Calc_T1!$M$2:$M$36,0)),"")</f>
        <v>Medium Risk</v>
      </c>
      <c r="G28" s="2"/>
      <c r="H28" s="2"/>
      <c r="I28" s="7" t="s">
        <v>141</v>
      </c>
      <c r="J28" s="2"/>
      <c r="K28" s="2"/>
      <c r="L28" s="2"/>
      <c r="M28" s="2"/>
      <c r="N28" s="2"/>
      <c r="O28" s="2"/>
      <c r="P28" s="2"/>
      <c r="Q28" s="2"/>
      <c r="R28" s="2"/>
      <c r="S28" s="2"/>
    </row>
    <row r="29" ht="15.0" customHeight="1">
      <c r="A29" s="2"/>
      <c r="B29" s="19">
        <v>13.0</v>
      </c>
      <c r="C29" s="19" t="str">
        <f t="array" ref="C29">IFERROR(INDEX(Calc_T1!$A$2:$A$36,MATCH($B29,Calc_T1!$M$2:$M$36,0)),"")</f>
        <v>Indonesia</v>
      </c>
      <c r="D29" s="19" t="str">
        <f t="array" ref="D29">IFERROR(INDEX(Calc_T1!$B$2:$B$36,MATCH($B29,Calc_T1!$M$2:$M$36,0)),"")</f>
        <v>East Asia &amp; Pacific</v>
      </c>
      <c r="E29" s="19">
        <f t="array" ref="E29">IFERROR(INDEX(Calc_T1!$K$2:$K$36,MATCH($B29,Calc_T1!$M$2:$M$36,0)),"")</f>
        <v>50.74</v>
      </c>
      <c r="F29" s="19" t="str">
        <f t="array" ref="F29">IFERROR(INDEX(Calc_T1!$J$2:$J$36,MATCH($B29,Calc_T1!$M$2:$M$36,0)),"")</f>
        <v>Medium Risk</v>
      </c>
      <c r="G29" s="2"/>
      <c r="H29" s="2"/>
      <c r="I29" s="1" t="s">
        <v>139</v>
      </c>
      <c r="J29" s="1" t="s">
        <v>142</v>
      </c>
      <c r="K29" s="2"/>
      <c r="L29" s="2"/>
      <c r="M29" s="2"/>
      <c r="N29" s="2"/>
      <c r="O29" s="2"/>
      <c r="P29" s="2"/>
      <c r="Q29" s="2"/>
      <c r="R29" s="2"/>
      <c r="S29" s="2"/>
    </row>
    <row r="30" ht="15.0" customHeight="1">
      <c r="A30" s="2"/>
      <c r="B30" s="19">
        <v>14.0</v>
      </c>
      <c r="C30" s="19" t="str">
        <f t="array" ref="C30">IFERROR(INDEX(Calc_T1!$A$2:$A$36,MATCH($B30,Calc_T1!$M$2:$M$36,0)),"")</f>
        <v>India</v>
      </c>
      <c r="D30" s="19" t="str">
        <f t="array" ref="D30">IFERROR(INDEX(Calc_T1!$B$2:$B$36,MATCH($B30,Calc_T1!$M$2:$M$36,0)),"")</f>
        <v>South Asia</v>
      </c>
      <c r="E30" s="19">
        <f t="array" ref="E30">IFERROR(INDEX(Calc_T1!$K$2:$K$36,MATCH($B30,Calc_T1!$M$2:$M$36,0)),"")</f>
        <v>50.5</v>
      </c>
      <c r="F30" s="19" t="str">
        <f t="array" ref="F30">IFERROR(INDEX(Calc_T1!$J$2:$J$36,MATCH($B30,Calc_T1!$M$2:$M$36,0)),"")</f>
        <v>Medium Risk</v>
      </c>
      <c r="G30" s="2"/>
      <c r="H30" s="2"/>
      <c r="I30" s="2" t="s">
        <v>143</v>
      </c>
      <c r="J30" s="2">
        <f>COUNTIFS(Calc_T1!$D$2:$D$36,TRUE(),Calc_T1!$J$2:$J$36,"High Risk")</f>
        <v>2</v>
      </c>
      <c r="K30" s="2"/>
      <c r="L30" s="2"/>
      <c r="M30" s="2"/>
      <c r="N30" s="2"/>
      <c r="O30" s="2"/>
      <c r="P30" s="2"/>
      <c r="Q30" s="2"/>
      <c r="R30" s="2"/>
      <c r="S30" s="2"/>
    </row>
    <row r="31" ht="15.0" customHeight="1">
      <c r="A31" s="2"/>
      <c r="B31" s="19">
        <v>15.0</v>
      </c>
      <c r="C31" s="19" t="str">
        <f t="array" ref="C31">IFERROR(INDEX(Calc_T1!$A$2:$A$36,MATCH($B31,Calc_T1!$M$2:$M$36,0)),"")</f>
        <v>China</v>
      </c>
      <c r="D31" s="19" t="str">
        <f t="array" ref="D31">IFERROR(INDEX(Calc_T1!$B$2:$B$36,MATCH($B31,Calc_T1!$M$2:$M$36,0)),"")</f>
        <v>East Asia &amp; Pacific</v>
      </c>
      <c r="E31" s="19">
        <f t="array" ref="E31">IFERROR(INDEX(Calc_T1!$K$2:$K$36,MATCH($B31,Calc_T1!$M$2:$M$36,0)),"")</f>
        <v>50.38</v>
      </c>
      <c r="F31" s="19" t="str">
        <f t="array" ref="F31">IFERROR(INDEX(Calc_T1!$J$2:$J$36,MATCH($B31,Calc_T1!$M$2:$M$36,0)),"")</f>
        <v>Medium Risk</v>
      </c>
      <c r="G31" s="2"/>
      <c r="H31" s="2"/>
      <c r="I31" s="2" t="s">
        <v>29</v>
      </c>
      <c r="J31" s="2">
        <f>COUNTIFS(Calc_T1!$D$2:$D$36,TRUE(),Calc_T1!$J$2:$J$36,"Medium Risk")</f>
        <v>21</v>
      </c>
      <c r="K31" s="2"/>
      <c r="L31" s="2"/>
      <c r="M31" s="2"/>
      <c r="N31" s="2"/>
      <c r="O31" s="2"/>
      <c r="P31" s="2"/>
      <c r="Q31" s="2"/>
      <c r="R31" s="2"/>
      <c r="S31" s="2"/>
    </row>
    <row r="32" ht="15.0" customHeight="1">
      <c r="A32" s="2"/>
      <c r="B32" s="19">
        <v>16.0</v>
      </c>
      <c r="C32" s="19" t="str">
        <f t="array" ref="C32">IFERROR(INDEX(Calc_T1!$A$2:$A$36,MATCH($B32,Calc_T1!$M$2:$M$36,0)),"")</f>
        <v>Kazakhstan</v>
      </c>
      <c r="D32" s="19" t="str">
        <f t="array" ref="D32">IFERROR(INDEX(Calc_T1!$B$2:$B$36,MATCH($B32,Calc_T1!$M$2:$M$36,0)),"")</f>
        <v>Europe &amp; Central Asia</v>
      </c>
      <c r="E32" s="19">
        <f t="array" ref="E32">IFERROR(INDEX(Calc_T1!$K$2:$K$36,MATCH($B32,Calc_T1!$M$2:$M$36,0)),"")</f>
        <v>50.08</v>
      </c>
      <c r="F32" s="19" t="str">
        <f t="array" ref="F32">IFERROR(INDEX(Calc_T1!$J$2:$J$36,MATCH($B32,Calc_T1!$M$2:$M$36,0)),"")</f>
        <v>Medium Risk</v>
      </c>
      <c r="G32" s="2"/>
      <c r="H32" s="2"/>
      <c r="I32" s="2" t="s">
        <v>97</v>
      </c>
      <c r="J32" s="2">
        <f>COUNTIFS(Calc_T1!$D$2:$D$36,TRUE(),Calc_T1!$J$2:$J$36,"Low Risk")</f>
        <v>12</v>
      </c>
      <c r="K32" s="2"/>
      <c r="L32" s="2"/>
      <c r="M32" s="2"/>
      <c r="N32" s="2"/>
      <c r="O32" s="2"/>
      <c r="P32" s="2"/>
      <c r="Q32" s="2"/>
      <c r="R32" s="2"/>
      <c r="S32" s="2"/>
    </row>
    <row r="33" ht="15.0" customHeight="1">
      <c r="A33" s="2"/>
      <c r="B33" s="19">
        <v>17.0</v>
      </c>
      <c r="C33" s="19" t="str">
        <f t="array" ref="C33">IFERROR(INDEX(Calc_T1!$A$2:$A$36,MATCH($B33,Calc_T1!$M$2:$M$36,0)),"")</f>
        <v/>
      </c>
      <c r="D33" s="19" t="str">
        <f t="array" ref="D33">IFERROR(INDEX(Calc_T1!$B$2:$B$36,MATCH($B33,Calc_T1!$M$2:$M$36,0)),"")</f>
        <v/>
      </c>
      <c r="E33" s="19" t="str">
        <f t="array" ref="E33">IFERROR(INDEX(Calc_T1!$K$2:$K$36,MATCH($B33,Calc_T1!$M$2:$M$36,0)),"")</f>
        <v/>
      </c>
      <c r="F33" s="19" t="str">
        <f t="array" ref="F33">IFERROR(INDEX(Calc_T1!$J$2:$J$36,MATCH($B33,Calc_T1!$M$2:$M$36,0)),"")</f>
        <v/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</row>
    <row r="34" ht="15.0" customHeight="1">
      <c r="A34" s="2"/>
      <c r="B34" s="19">
        <v>18.0</v>
      </c>
      <c r="C34" s="19" t="str">
        <f t="array" ref="C34">IFERROR(INDEX(Calc_T1!$A$2:$A$36,MATCH($B34,Calc_T1!$M$2:$M$36,0)),"")</f>
        <v>Colombia</v>
      </c>
      <c r="D34" s="19" t="str">
        <f t="array" ref="D34">IFERROR(INDEX(Calc_T1!$B$2:$B$36,MATCH($B34,Calc_T1!$M$2:$M$36,0)),"")</f>
        <v>Latin America &amp; Caribbean</v>
      </c>
      <c r="E34" s="19">
        <f t="array" ref="E34">IFERROR(INDEX(Calc_T1!$K$2:$K$36,MATCH($B34,Calc_T1!$M$2:$M$36,0)),"")</f>
        <v>49.79</v>
      </c>
      <c r="F34" s="19" t="str">
        <f t="array" ref="F34">IFERROR(INDEX(Calc_T1!$J$2:$J$36,MATCH($B34,Calc_T1!$M$2:$M$36,0)),"")</f>
        <v>Medium Risk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ht="15.0" customHeight="1">
      <c r="A35" s="2"/>
      <c r="B35" s="19">
        <v>19.0</v>
      </c>
      <c r="C35" s="19" t="str">
        <f t="array" ref="C35">IFERROR(INDEX(Calc_T1!$A$2:$A$36,MATCH($B35,Calc_T1!$M$2:$M$36,0)),"")</f>
        <v>Brazil</v>
      </c>
      <c r="D35" s="19" t="str">
        <f t="array" ref="D35">IFERROR(INDEX(Calc_T1!$B$2:$B$36,MATCH($B35,Calc_T1!$M$2:$M$36,0)),"")</f>
        <v>Latin America &amp; Caribbean</v>
      </c>
      <c r="E35" s="19">
        <f t="array" ref="E35">IFERROR(INDEX(Calc_T1!$K$2:$K$36,MATCH($B35,Calc_T1!$M$2:$M$36,0)),"")</f>
        <v>48.85</v>
      </c>
      <c r="F35" s="19" t="str">
        <f t="array" ref="F35">IFERROR(INDEX(Calc_T1!$J$2:$J$36,MATCH($B35,Calc_T1!$M$2:$M$36,0)),"")</f>
        <v>Medium Risk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ht="15.0" customHeight="1">
      <c r="A36" s="2"/>
      <c r="B36" s="19">
        <v>20.0</v>
      </c>
      <c r="C36" s="19" t="str">
        <f t="array" ref="C36">IFERROR(INDEX(Calc_T1!$A$2:$A$36,MATCH($B36,Calc_T1!$M$2:$M$36,0)),"")</f>
        <v>Saudi Arabia</v>
      </c>
      <c r="D36" s="19" t="str">
        <f t="array" ref="D36">IFERROR(INDEX(Calc_T1!$B$2:$B$36,MATCH($B36,Calc_T1!$M$2:$M$36,0)),"")</f>
        <v>Middle East &amp; North Africa</v>
      </c>
      <c r="E36" s="19">
        <f t="array" ref="E36">IFERROR(INDEX(Calc_T1!$K$2:$K$36,MATCH($B36,Calc_T1!$M$2:$M$36,0)),"")</f>
        <v>46.54</v>
      </c>
      <c r="F36" s="19" t="str">
        <f t="array" ref="F36">IFERROR(INDEX(Calc_T1!$J$2:$J$36,MATCH($B36,Calc_T1!$M$2:$M$36,0)),"")</f>
        <v>Medium Risk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ht="15.0" customHeight="1">
      <c r="A37" s="2"/>
      <c r="B37" s="19">
        <v>21.0</v>
      </c>
      <c r="C37" s="19" t="str">
        <f t="array" ref="C37">IFERROR(INDEX(Calc_T1!$A$2:$A$36,MATCH($B37,Calc_T1!$M$2:$M$36,0)),"")</f>
        <v>Sri Lanka</v>
      </c>
      <c r="D37" s="19" t="str">
        <f t="array" ref="D37">IFERROR(INDEX(Calc_T1!$B$2:$B$36,MATCH($B37,Calc_T1!$M$2:$M$36,0)),"")</f>
        <v>South Asia</v>
      </c>
      <c r="E37" s="19">
        <f t="array" ref="E37">IFERROR(INDEX(Calc_T1!$K$2:$K$36,MATCH($B37,Calc_T1!$M$2:$M$36,0)),"")</f>
        <v>46.07</v>
      </c>
      <c r="F37" s="19" t="str">
        <f t="array" ref="F37">IFERROR(INDEX(Calc_T1!$J$2:$J$36,MATCH($B37,Calc_T1!$M$2:$M$36,0)),"")</f>
        <v>Medium Risk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ht="15.0" customHeight="1">
      <c r="A38" s="2"/>
      <c r="B38" s="19">
        <v>22.0</v>
      </c>
      <c r="C38" s="19" t="str">
        <f t="array" ref="C38">IFERROR(INDEX(Calc_T1!$A$2:$A$36,MATCH($B38,Calc_T1!$M$2:$M$36,0)),"")</f>
        <v>South Africa</v>
      </c>
      <c r="D38" s="19" t="str">
        <f t="array" ref="D38">IFERROR(INDEX(Calc_T1!$B$2:$B$36,MATCH($B38,Calc_T1!$M$2:$M$36,0)),"")</f>
        <v>Sub-Saharan Africa</v>
      </c>
      <c r="E38" s="19">
        <f t="array" ref="E38">IFERROR(INDEX(Calc_T1!$K$2:$K$36,MATCH($B38,Calc_T1!$M$2:$M$36,0)),"")</f>
        <v>43.52</v>
      </c>
      <c r="F38" s="19" t="str">
        <f t="array" ref="F38">IFERROR(INDEX(Calc_T1!$J$2:$J$36,MATCH($B38,Calc_T1!$M$2:$M$36,0)),"")</f>
        <v>Medium Risk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ht="15.0" customHeight="1">
      <c r="A39" s="2"/>
      <c r="B39" s="19">
        <v>23.0</v>
      </c>
      <c r="C39" s="19" t="str">
        <f t="array" ref="C39">IFERROR(INDEX(Calc_T1!$A$2:$A$36,MATCH($B39,Calc_T1!$M$2:$M$36,0)),"")</f>
        <v>Greece</v>
      </c>
      <c r="D39" s="19" t="str">
        <f t="array" ref="D39">IFERROR(INDEX(Calc_T1!$B$2:$B$36,MATCH($B39,Calc_T1!$M$2:$M$36,0)),"")</f>
        <v>Europe &amp; Central Asia</v>
      </c>
      <c r="E39" s="19">
        <f t="array" ref="E39">IFERROR(INDEX(Calc_T1!$K$2:$K$36,MATCH($B39,Calc_T1!$M$2:$M$36,0)),"")</f>
        <v>41.61</v>
      </c>
      <c r="F39" s="19" t="str">
        <f t="array" ref="F39">IFERROR(INDEX(Calc_T1!$J$2:$J$36,MATCH($B39,Calc_T1!$M$2:$M$36,0)),"")</f>
        <v>Medium Risk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5.0" customHeight="1">
      <c r="A40" s="2"/>
      <c r="B40" s="19">
        <v>24.0</v>
      </c>
      <c r="C40" s="19" t="str">
        <f t="array" ref="C40">IFERROR(INDEX(Calc_T1!$A$2:$A$36,MATCH($B40,Calc_T1!$M$2:$M$36,0)),"")</f>
        <v>Italy</v>
      </c>
      <c r="D40" s="19" t="str">
        <f t="array" ref="D40">IFERROR(INDEX(Calc_T1!$B$2:$B$36,MATCH($B40,Calc_T1!$M$2:$M$36,0)),"")</f>
        <v>Europe &amp; Central Asia</v>
      </c>
      <c r="E40" s="19">
        <f t="array" ref="E40">IFERROR(INDEX(Calc_T1!$K$2:$K$36,MATCH($B40,Calc_T1!$M$2:$M$36,0)),"")</f>
        <v>37.28</v>
      </c>
      <c r="F40" s="19" t="str">
        <f t="array" ref="F40">IFERROR(INDEX(Calc_T1!$J$2:$J$36,MATCH($B40,Calc_T1!$M$2:$M$36,0)),"")</f>
        <v>Low Risk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ht="15.0" customHeight="1">
      <c r="A41" s="2"/>
      <c r="B41" s="19">
        <v>25.0</v>
      </c>
      <c r="C41" s="19" t="str">
        <f t="array" ref="C41">IFERROR(INDEX(Calc_T1!$A$2:$A$36,MATCH($B41,Calc_T1!$M$2:$M$36,0)),"")</f>
        <v>Georgia</v>
      </c>
      <c r="D41" s="19" t="str">
        <f t="array" ref="D41">IFERROR(INDEX(Calc_T1!$B$2:$B$36,MATCH($B41,Calc_T1!$M$2:$M$36,0)),"")</f>
        <v>Europe &amp; Central Asia</v>
      </c>
      <c r="E41" s="19">
        <f t="array" ref="E41">IFERROR(INDEX(Calc_T1!$K$2:$K$36,MATCH($B41,Calc_T1!$M$2:$M$36,0)),"")</f>
        <v>35.41</v>
      </c>
      <c r="F41" s="19" t="str">
        <f t="array" ref="F41">IFERROR(INDEX(Calc_T1!$J$2:$J$36,MATCH($B41,Calc_T1!$M$2:$M$36,0)),"")</f>
        <v>Low Risk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ht="15.0" customHeight="1">
      <c r="A42" s="2"/>
      <c r="B42" s="19">
        <v>26.0</v>
      </c>
      <c r="C42" s="19" t="str">
        <f t="array" ref="C42">IFERROR(INDEX(Calc_T1!$A$2:$A$36,MATCH($B42,Calc_T1!$M$2:$M$36,0)),"")</f>
        <v>United Arab Emirates</v>
      </c>
      <c r="D42" s="19" t="str">
        <f t="array" ref="D42">IFERROR(INDEX(Calc_T1!$B$2:$B$36,MATCH($B42,Calc_T1!$M$2:$M$36,0)),"")</f>
        <v>Middle East &amp; North Africa</v>
      </c>
      <c r="E42" s="19">
        <f t="array" ref="E42">IFERROR(INDEX(Calc_T1!$K$2:$K$36,MATCH($B42,Calc_T1!$M$2:$M$36,0)),"")</f>
        <v>29.21</v>
      </c>
      <c r="F42" s="19" t="str">
        <f t="array" ref="F42">IFERROR(INDEX(Calc_T1!$J$2:$J$36,MATCH($B42,Calc_T1!$M$2:$M$36,0)),"")</f>
        <v>Low Risk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ht="15.0" customHeight="1">
      <c r="A43" s="2"/>
      <c r="B43" s="19">
        <v>27.0</v>
      </c>
      <c r="C43" s="19" t="str">
        <f t="array" ref="C43">IFERROR(INDEX(Calc_T1!$A$2:$A$36,MATCH($B43,Calc_T1!$M$2:$M$36,0)),"")</f>
        <v>Poland</v>
      </c>
      <c r="D43" s="19" t="str">
        <f t="array" ref="D43">IFERROR(INDEX(Calc_T1!$B$2:$B$36,MATCH($B43,Calc_T1!$M$2:$M$36,0)),"")</f>
        <v>Europe &amp; Central Asia</v>
      </c>
      <c r="E43" s="19">
        <f t="array" ref="E43">IFERROR(INDEX(Calc_T1!$K$2:$K$36,MATCH($B43,Calc_T1!$M$2:$M$36,0)),"")</f>
        <v>28.04</v>
      </c>
      <c r="F43" s="19" t="str">
        <f t="array" ref="F43">IFERROR(INDEX(Calc_T1!$J$2:$J$36,MATCH($B43,Calc_T1!$M$2:$M$36,0)),"")</f>
        <v>Low Risk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ht="15.0" customHeight="1">
      <c r="A44" s="2"/>
      <c r="B44" s="19">
        <v>28.0</v>
      </c>
      <c r="C44" s="19" t="str">
        <f t="array" ref="C44">IFERROR(INDEX(Calc_T1!$A$2:$A$36,MATCH($B44,Calc_T1!$M$2:$M$36,0)),"")</f>
        <v>France</v>
      </c>
      <c r="D44" s="19" t="str">
        <f t="array" ref="D44">IFERROR(INDEX(Calc_T1!$B$2:$B$36,MATCH($B44,Calc_T1!$M$2:$M$36,0)),"")</f>
        <v>Europe &amp; Central Asia</v>
      </c>
      <c r="E44" s="19">
        <f t="array" ref="E44">IFERROR(INDEX(Calc_T1!$K$2:$K$36,MATCH($B44,Calc_T1!$M$2:$M$36,0)),"")</f>
        <v>26.57</v>
      </c>
      <c r="F44" s="19" t="str">
        <f t="array" ref="F44">IFERROR(INDEX(Calc_T1!$J$2:$J$36,MATCH($B44,Calc_T1!$M$2:$M$36,0)),"")</f>
        <v>Low Risk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ht="15.0" customHeight="1">
      <c r="A45" s="2"/>
      <c r="B45" s="19">
        <v>29.0</v>
      </c>
      <c r="C45" s="19" t="str">
        <f t="array" ref="C45">IFERROR(INDEX(Calc_T1!$A$2:$A$36,MATCH($B45,Calc_T1!$M$2:$M$36,0)),"")</f>
        <v>Chile</v>
      </c>
      <c r="D45" s="19" t="str">
        <f t="array" ref="D45">IFERROR(INDEX(Calc_T1!$B$2:$B$36,MATCH($B45,Calc_T1!$M$2:$M$36,0)),"")</f>
        <v>Latin America &amp; Caribbean</v>
      </c>
      <c r="E45" s="19">
        <f t="array" ref="E45">IFERROR(INDEX(Calc_T1!$K$2:$K$36,MATCH($B45,Calc_T1!$M$2:$M$36,0)),"")</f>
        <v>25.78</v>
      </c>
      <c r="F45" s="19" t="str">
        <f t="array" ref="F45">IFERROR(INDEX(Calc_T1!$J$2:$J$36,MATCH($B45,Calc_T1!$M$2:$M$36,0)),"")</f>
        <v>Low Risk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ht="15.0" customHeight="1">
      <c r="A46" s="2"/>
      <c r="B46" s="19">
        <v>30.0</v>
      </c>
      <c r="C46" s="19" t="str">
        <f t="array" ref="C46">IFERROR(INDEX(Calc_T1!$A$2:$A$36,MATCH($B46,Calc_T1!$M$2:$M$36,0)),"")</f>
        <v>United States</v>
      </c>
      <c r="D46" s="19" t="str">
        <f t="array" ref="D46">IFERROR(INDEX(Calc_T1!$B$2:$B$36,MATCH($B46,Calc_T1!$M$2:$M$36,0)),"")</f>
        <v>North America</v>
      </c>
      <c r="E46" s="19">
        <f t="array" ref="E46">IFERROR(INDEX(Calc_T1!$K$2:$K$36,MATCH($B46,Calc_T1!$M$2:$M$36,0)),"")</f>
        <v>23.48</v>
      </c>
      <c r="F46" s="19" t="str">
        <f t="array" ref="F46">IFERROR(INDEX(Calc_T1!$J$2:$J$36,MATCH($B46,Calc_T1!$M$2:$M$36,0)),"")</f>
        <v>Low Risk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ht="15.0" customHeight="1">
      <c r="A47" s="2"/>
      <c r="B47" s="19">
        <v>31.0</v>
      </c>
      <c r="C47" s="19" t="str">
        <f t="array" ref="C47">IFERROR(INDEX(Calc_T1!$A$2:$A$36,MATCH($B47,Calc_T1!$M$2:$M$36,0)),"")</f>
        <v>Japan</v>
      </c>
      <c r="D47" s="19" t="str">
        <f t="array" ref="D47">IFERROR(INDEX(Calc_T1!$B$2:$B$36,MATCH($B47,Calc_T1!$M$2:$M$36,0)),"")</f>
        <v>East Asia &amp; Pacific</v>
      </c>
      <c r="E47" s="19">
        <f t="array" ref="E47">IFERROR(INDEX(Calc_T1!$K$2:$K$36,MATCH($B47,Calc_T1!$M$2:$M$36,0)),"")</f>
        <v>19.3</v>
      </c>
      <c r="F47" s="19" t="str">
        <f t="array" ref="F47">IFERROR(INDEX(Calc_T1!$J$2:$J$36,MATCH($B47,Calc_T1!$M$2:$M$36,0)),"")</f>
        <v>Low Risk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ht="15.0" customHeight="1">
      <c r="A48" s="2"/>
      <c r="B48" s="19">
        <v>32.0</v>
      </c>
      <c r="C48" s="19" t="str">
        <f t="array" ref="C48">IFERROR(INDEX(Calc_T1!$A$2:$A$36,MATCH($B48,Calc_T1!$M$2:$M$36,0)),"")</f>
        <v>United Kingdom</v>
      </c>
      <c r="D48" s="19" t="str">
        <f t="array" ref="D48">IFERROR(INDEX(Calc_T1!$B$2:$B$36,MATCH($B48,Calc_T1!$M$2:$M$36,0)),"")</f>
        <v>Europe &amp; Central Asia</v>
      </c>
      <c r="E48" s="19">
        <f t="array" ref="E48">IFERROR(INDEX(Calc_T1!$K$2:$K$36,MATCH($B48,Calc_T1!$M$2:$M$36,0)),"")</f>
        <v>18.64</v>
      </c>
      <c r="F48" s="19" t="str">
        <f t="array" ref="F48">IFERROR(INDEX(Calc_T1!$J$2:$J$36,MATCH($B48,Calc_T1!$M$2:$M$36,0)),"")</f>
        <v>Low Risk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ht="15.0" customHeight="1">
      <c r="A49" s="2"/>
      <c r="B49" s="19">
        <v>33.0</v>
      </c>
      <c r="C49" s="19" t="str">
        <f t="array" ref="C49">IFERROR(INDEX(Calc_T1!$A$2:$A$36,MATCH($B49,Calc_T1!$M$2:$M$36,0)),"")</f>
        <v>Germany</v>
      </c>
      <c r="D49" s="19" t="str">
        <f t="array" ref="D49">IFERROR(INDEX(Calc_T1!$B$2:$B$36,MATCH($B49,Calc_T1!$M$2:$M$36,0)),"")</f>
        <v>Europe &amp; Central Asia</v>
      </c>
      <c r="E49" s="19">
        <f t="array" ref="E49">IFERROR(INDEX(Calc_T1!$K$2:$K$36,MATCH($B49,Calc_T1!$M$2:$M$36,0)),"")</f>
        <v>17.38</v>
      </c>
      <c r="F49" s="19" t="str">
        <f t="array" ref="F49">IFERROR(INDEX(Calc_T1!$J$2:$J$36,MATCH($B49,Calc_T1!$M$2:$M$36,0)),"")</f>
        <v>Low Risk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ht="15.0" customHeight="1">
      <c r="A50" s="2"/>
      <c r="B50" s="19">
        <v>34.0</v>
      </c>
      <c r="C50" s="19" t="str">
        <f t="array" ref="C50">IFERROR(INDEX(Calc_T1!$A$2:$A$36,MATCH($B50,Calc_T1!$M$2:$M$36,0)),"")</f>
        <v>Australia</v>
      </c>
      <c r="D50" s="19" t="str">
        <f t="array" ref="D50">IFERROR(INDEX(Calc_T1!$B$2:$B$36,MATCH($B50,Calc_T1!$M$2:$M$36,0)),"")</f>
        <v>East Asia &amp; Pacific</v>
      </c>
      <c r="E50" s="19">
        <f t="array" ref="E50">IFERROR(INDEX(Calc_T1!$K$2:$K$36,MATCH($B50,Calc_T1!$M$2:$M$36,0)),"")</f>
        <v>16.54</v>
      </c>
      <c r="F50" s="19" t="str">
        <f t="array" ref="F50">IFERROR(INDEX(Calc_T1!$J$2:$J$36,MATCH($B50,Calc_T1!$M$2:$M$36,0)),"")</f>
        <v>Low Risk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ht="15.0" customHeight="1">
      <c r="A51" s="2"/>
      <c r="B51" s="19">
        <v>35.0</v>
      </c>
      <c r="C51" s="19" t="str">
        <f t="array" ref="C51">IFERROR(INDEX(Calc_T1!$A$2:$A$36,MATCH($B51,Calc_T1!$M$2:$M$36,0)),"")</f>
        <v>Canada</v>
      </c>
      <c r="D51" s="19" t="str">
        <f t="array" ref="D51">IFERROR(INDEX(Calc_T1!$B$2:$B$36,MATCH($B51,Calc_T1!$M$2:$M$36,0)),"")</f>
        <v>North America</v>
      </c>
      <c r="E51" s="19">
        <f t="array" ref="E51">IFERROR(INDEX(Calc_T1!$K$2:$K$36,MATCH($B51,Calc_T1!$M$2:$M$36,0)),"")</f>
        <v>15.16</v>
      </c>
      <c r="F51" s="19" t="str">
        <f t="array" ref="F51">IFERROR(INDEX(Calc_T1!$J$2:$J$36,MATCH($B51,Calc_T1!$M$2:$M$36,0)),"")</f>
        <v>Low Risk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3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ht="3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ht="18.75" customHeight="1">
      <c r="A54" s="2"/>
      <c r="B54" s="20" t="s">
        <v>149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ht="15.75" customHeight="1">
      <c r="A55" s="2"/>
      <c r="B55" s="2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ht="15.0" customHeight="1">
      <c r="A56" s="2"/>
      <c r="B56" s="1" t="s">
        <v>3</v>
      </c>
      <c r="C56" s="1" t="s">
        <v>150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ht="15.0" customHeight="1">
      <c r="A57" s="2"/>
      <c r="B57" s="19">
        <v>2013.0</v>
      </c>
      <c r="C57" s="19">
        <f>ROUND(AVERAGEIFS(Data!$K:$K,Data!$C:$C,$B57,Data!$O:$O,TRUE()),2)</f>
        <v>44.66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ht="15.0" customHeight="1">
      <c r="A58" s="2"/>
      <c r="B58" s="19">
        <v>2014.0</v>
      </c>
      <c r="C58" s="19">
        <f>ROUND(AVERAGEIFS(Data!$K:$K,Data!$C:$C,$B58,Data!$O:$O,TRUE()),2)</f>
        <v>43.95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ht="15.0" customHeight="1">
      <c r="A59" s="2"/>
      <c r="B59" s="19">
        <v>2015.0</v>
      </c>
      <c r="C59" s="19">
        <f>ROUND(AVERAGEIFS(Data!$K:$K,Data!$C:$C,$B59,Data!$O:$O,TRUE()),2)</f>
        <v>43.81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ht="15.0" customHeight="1">
      <c r="A60" s="2"/>
      <c r="B60" s="19">
        <v>2016.0</v>
      </c>
      <c r="C60" s="19">
        <f>ROUND(AVERAGEIFS(Data!$K:$K,Data!$C:$C,$B60,Data!$O:$O,TRUE()),2)</f>
        <v>43.64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ht="15.0" customHeight="1">
      <c r="A61" s="2"/>
      <c r="B61" s="19">
        <v>2017.0</v>
      </c>
      <c r="C61" s="19">
        <f>ROUND(AVERAGEIFS(Data!$K:$K,Data!$C:$C,$B61,Data!$O:$O,TRUE()),2)</f>
        <v>43.67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ht="15.0" customHeight="1">
      <c r="A62" s="2"/>
      <c r="B62" s="19">
        <v>2018.0</v>
      </c>
      <c r="C62" s="19">
        <f>ROUND(AVERAGEIFS(Data!$K:$K,Data!$C:$C,$B62,Data!$O:$O,TRUE()),2)</f>
        <v>43.52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ht="15.0" customHeight="1">
      <c r="A63" s="2"/>
      <c r="B63" s="19">
        <v>2019.0</v>
      </c>
      <c r="C63" s="19">
        <f>ROUND(AVERAGEIFS(Data!$K:$K,Data!$C:$C,$B63,Data!$O:$O,TRUE()),2)</f>
        <v>43.54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ht="15.0" customHeight="1">
      <c r="A64" s="2"/>
      <c r="B64" s="19">
        <v>2020.0</v>
      </c>
      <c r="C64" s="19">
        <f>ROUND(AVERAGEIFS(Data!$K:$K,Data!$C:$C,$B64,Data!$O:$O,TRUE()),2)</f>
        <v>43.91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ht="15.0" customHeight="1">
      <c r="A65" s="2"/>
      <c r="B65" s="19">
        <v>2021.0</v>
      </c>
      <c r="C65" s="19">
        <f>ROUND(AVERAGEIFS(Data!$K:$K,Data!$C:$C,$B65,Data!$O:$O,TRUE()),2)</f>
        <v>44.18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ht="15.0" customHeight="1">
      <c r="A66" s="2"/>
      <c r="B66" s="19">
        <v>2022.0</v>
      </c>
      <c r="C66" s="19">
        <f>ROUND(AVERAGEIFS(Data!$K:$K,Data!$C:$C,$B66,Data!$O:$O,TRUE()),2)</f>
        <v>44.56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ht="15.0" customHeight="1">
      <c r="A67" s="2"/>
      <c r="B67" s="19">
        <v>2023.0</v>
      </c>
      <c r="C67" s="19">
        <f>ROUND(AVERAGEIFS(Data!$K:$K,Data!$C:$C,$B67,Data!$O:$O,TRUE()),2)</f>
        <v>44.58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ht="15.0" customHeight="1">
      <c r="A68" s="2"/>
      <c r="B68" s="19">
        <v>2024.0</v>
      </c>
      <c r="C68" s="19">
        <f>ROUND(AVERAGEIFS(Data!$K:$K,Data!$C:$C,$B68,Data!$O:$O,TRUE()),2)</f>
        <v>45.05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</row>
  </sheetData>
  <mergeCells count="17">
    <mergeCell ref="B1:S1"/>
    <mergeCell ref="B2:S2"/>
    <mergeCell ref="B7:D7"/>
    <mergeCell ref="E7:G7"/>
    <mergeCell ref="H7:J7"/>
    <mergeCell ref="K7:M7"/>
    <mergeCell ref="B8:D8"/>
    <mergeCell ref="K8:M8"/>
    <mergeCell ref="B11:D11"/>
    <mergeCell ref="B14:G14"/>
    <mergeCell ref="E8:G8"/>
    <mergeCell ref="H8:J8"/>
    <mergeCell ref="B10:D10"/>
    <mergeCell ref="E10:H10"/>
    <mergeCell ref="I10:M10"/>
    <mergeCell ref="E11:H11"/>
    <mergeCell ref="I11:M11"/>
  </mergeCells>
  <conditionalFormatting sqref="E17:E5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>
    <dataValidation type="list" allowBlank="1" sqref="C5">
      <formula1>Lookups!$A$2:$A$8</formula1>
    </dataValidation>
    <dataValidation type="list" allowBlank="1" sqref="I5">
      <formula1>Lookups!$C$2:$C$13</formula1>
    </dataValidation>
    <dataValidation type="list" allowBlank="1" sqref="F5">
      <formula1>Lookups!$B$2:$B$5</formula1>
    </dataValidation>
  </dataValidations>
  <printOptions/>
  <pageMargins bottom="0.3" footer="0.0" header="0.0" left="0.3" right="0.3" top="0.3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 fitToPage="1"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3.0"/>
    <col customWidth="1" min="3" max="3" width="23.86"/>
    <col customWidth="1" min="4" max="8" width="13.0"/>
    <col customWidth="1" min="9" max="9" width="16.14"/>
    <col customWidth="1" min="10" max="10" width="21.71"/>
    <col customWidth="1" min="11" max="19" width="13.0"/>
    <col customWidth="1" min="20" max="26" width="8.71"/>
  </cols>
  <sheetData>
    <row r="1" ht="25.5" customHeight="1">
      <c r="A1" s="2"/>
      <c r="B1" s="3" t="s">
        <v>98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</row>
    <row r="2" ht="15.75" customHeight="1">
      <c r="A2" s="2"/>
      <c r="B2" s="6" t="s">
        <v>99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ht="15.0" customHeight="1">
      <c r="A4" s="2"/>
      <c r="B4" s="7" t="s">
        <v>100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15.0" customHeight="1">
      <c r="A5" s="2"/>
      <c r="B5" s="8" t="s">
        <v>101</v>
      </c>
      <c r="C5" s="9" t="s">
        <v>35</v>
      </c>
      <c r="D5" s="2"/>
      <c r="E5" s="8" t="s">
        <v>102</v>
      </c>
      <c r="F5" s="10">
        <v>2013.0</v>
      </c>
      <c r="G5" s="2"/>
      <c r="H5" s="8" t="s">
        <v>103</v>
      </c>
      <c r="I5" s="10">
        <v>2024.0</v>
      </c>
      <c r="J5" s="2"/>
      <c r="K5" s="2"/>
      <c r="L5" s="2"/>
      <c r="M5" s="2"/>
      <c r="N5" s="2"/>
      <c r="O5" s="2"/>
      <c r="P5" s="2"/>
      <c r="Q5" s="2"/>
      <c r="R5" s="2"/>
      <c r="S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ht="21.75" customHeight="1">
      <c r="A7" s="2"/>
      <c r="B7" s="11" t="s">
        <v>104</v>
      </c>
      <c r="C7" s="12"/>
      <c r="D7" s="13"/>
      <c r="E7" s="11" t="s">
        <v>105</v>
      </c>
      <c r="F7" s="12"/>
      <c r="G7" s="13"/>
      <c r="H7" s="11" t="s">
        <v>106</v>
      </c>
      <c r="I7" s="12"/>
      <c r="J7" s="13"/>
      <c r="K7" s="11" t="s">
        <v>107</v>
      </c>
      <c r="L7" s="12"/>
      <c r="M7" s="13"/>
      <c r="N7" s="2"/>
      <c r="O7" s="2"/>
      <c r="P7" s="2"/>
      <c r="Q7" s="2"/>
      <c r="R7" s="2"/>
      <c r="S7" s="2"/>
    </row>
    <row r="8" ht="30.0" customHeight="1">
      <c r="A8" s="2"/>
      <c r="B8" s="14" t="str">
        <f>T2_Country</f>
        <v>China</v>
      </c>
      <c r="C8" s="12"/>
      <c r="D8" s="13"/>
      <c r="E8" s="14">
        <f>ROUND(SUMIFS(Data!$K:$K,Data!$A:$A,T2_Country,Data!$C:$C,T2_EndYear),2)</f>
        <v>46.59</v>
      </c>
      <c r="F8" s="12"/>
      <c r="G8" s="13"/>
      <c r="H8" s="14" t="str">
        <f>IF(SUMIFS(Data!$K:$K,Data!$A:$A,T2_Country,Data!$C:$C,T2_EndYear)&gt;65,"High Risk",IF(SUMIFS(Data!$K:$K,Data!$A:$A,T2_Country,Data!$C:$C,T2_EndYear)&gt;=40,"Medium Risk","Low Risk"))</f>
        <v>Medium Risk</v>
      </c>
      <c r="I8" s="12"/>
      <c r="J8" s="13"/>
      <c r="K8" s="14">
        <f>ROUND(SUMIFS(Data!$K:$K,Data!$A:$A,T2_Country,Data!$C:$C,T2_EndYear)-SUMIFS(Data!$K:$K,Data!$A:$A,T2_Country,Data!$C:$C,T2_StartYear),2)</f>
        <v>-6.19</v>
      </c>
      <c r="L8" s="12"/>
      <c r="M8" s="13"/>
      <c r="N8" s="2"/>
      <c r="O8" s="2"/>
      <c r="P8" s="2"/>
      <c r="Q8" s="2"/>
      <c r="R8" s="2"/>
      <c r="S8" s="2"/>
    </row>
    <row r="9" ht="1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ht="1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ht="1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ht="15.0" customHeight="1">
      <c r="A12" s="2"/>
      <c r="B12" s="7" t="s">
        <v>108</v>
      </c>
      <c r="C12" s="2"/>
      <c r="D12" s="2"/>
      <c r="E12" s="2"/>
      <c r="F12" s="2"/>
      <c r="G12" s="2"/>
      <c r="H12" s="2"/>
      <c r="I12" s="2"/>
      <c r="J12" s="7" t="s">
        <v>109</v>
      </c>
      <c r="K12" s="2"/>
      <c r="L12" s="2"/>
      <c r="M12" s="2"/>
      <c r="N12" s="2"/>
      <c r="O12" s="2"/>
      <c r="P12" s="2"/>
      <c r="Q12" s="2"/>
      <c r="R12" s="2"/>
      <c r="S12" s="2"/>
    </row>
    <row r="13" ht="15.0" customHeight="1">
      <c r="A13" s="2"/>
      <c r="B13" s="1" t="s">
        <v>110</v>
      </c>
      <c r="C13" s="1" t="s">
        <v>111</v>
      </c>
      <c r="D13" s="2"/>
      <c r="E13" s="2"/>
      <c r="F13" s="2"/>
      <c r="G13" s="2"/>
      <c r="H13" s="2"/>
      <c r="I13" s="2"/>
      <c r="J13" s="1" t="s">
        <v>3</v>
      </c>
      <c r="K13" s="1" t="s">
        <v>112</v>
      </c>
      <c r="L13" s="2"/>
      <c r="M13" s="2"/>
      <c r="N13" s="2"/>
      <c r="O13" s="2"/>
      <c r="P13" s="2"/>
      <c r="Q13" s="2"/>
      <c r="R13" s="2"/>
      <c r="S13" s="2"/>
    </row>
    <row r="14" ht="15.0" customHeight="1">
      <c r="A14" s="2"/>
      <c r="B14" s="15" t="s">
        <v>113</v>
      </c>
      <c r="C14" s="15">
        <f>SUMIFS(Data!$F:$F,Data!$A:$A,T2_Country,Data!$C:$C,T2_EndYear)</f>
        <v>49.65</v>
      </c>
      <c r="D14" s="2"/>
      <c r="E14" s="2"/>
      <c r="F14" s="2"/>
      <c r="G14" s="2"/>
      <c r="H14" s="2"/>
      <c r="I14" s="2"/>
      <c r="J14" s="15">
        <v>2013.0</v>
      </c>
      <c r="K14" s="15">
        <f>ROUND(SUMIFS(Data!$K:$K,Data!$A:$A,T2_Country,Data!$C:$C,$J14),2)</f>
        <v>52.78</v>
      </c>
      <c r="L14" s="2"/>
      <c r="M14" s="2"/>
      <c r="N14" s="2"/>
      <c r="O14" s="2"/>
      <c r="P14" s="2"/>
      <c r="Q14" s="2"/>
      <c r="R14" s="2"/>
      <c r="S14" s="2"/>
    </row>
    <row r="15" ht="15.0" customHeight="1">
      <c r="A15" s="2"/>
      <c r="B15" s="15" t="s">
        <v>114</v>
      </c>
      <c r="C15" s="15">
        <f>SUMIFS(Data!$G:$G,Data!$A:$A,T2_Country,Data!$C:$C,T2_EndYear)</f>
        <v>46.99</v>
      </c>
      <c r="D15" s="2"/>
      <c r="E15" s="2"/>
      <c r="F15" s="2"/>
      <c r="G15" s="2"/>
      <c r="H15" s="2"/>
      <c r="I15" s="2"/>
      <c r="J15" s="15">
        <v>2014.0</v>
      </c>
      <c r="K15" s="15">
        <f>ROUND(SUMIFS(Data!$K:$K,Data!$A:$A,T2_Country,Data!$C:$C,$J15),2)</f>
        <v>51.01</v>
      </c>
      <c r="L15" s="2"/>
      <c r="M15" s="2"/>
      <c r="N15" s="2"/>
      <c r="O15" s="2"/>
      <c r="P15" s="2"/>
      <c r="Q15" s="2"/>
      <c r="R15" s="2"/>
      <c r="S15" s="2"/>
    </row>
    <row r="16" ht="15.0" customHeight="1">
      <c r="A16" s="2"/>
      <c r="B16" s="15" t="s">
        <v>116</v>
      </c>
      <c r="C16" s="15">
        <f>SUMIFS(Data!$H:$H,Data!$A:$A,T2_Country,Data!$C:$C,T2_EndYear)</f>
        <v>53.74</v>
      </c>
      <c r="D16" s="2"/>
      <c r="E16" s="2"/>
      <c r="F16" s="2"/>
      <c r="G16" s="2"/>
      <c r="H16" s="2"/>
      <c r="I16" s="2"/>
      <c r="J16" s="15">
        <v>2015.0</v>
      </c>
      <c r="K16" s="15">
        <f>ROUND(SUMIFS(Data!$K:$K,Data!$A:$A,T2_Country,Data!$C:$C,$J16),2)</f>
        <v>50.38</v>
      </c>
      <c r="L16" s="2"/>
      <c r="M16" s="2"/>
      <c r="N16" s="2"/>
      <c r="O16" s="2"/>
      <c r="P16" s="2"/>
      <c r="Q16" s="2"/>
      <c r="R16" s="2"/>
      <c r="S16" s="2"/>
    </row>
    <row r="17" ht="15.0" customHeight="1">
      <c r="A17" s="2"/>
      <c r="B17" s="15" t="s">
        <v>119</v>
      </c>
      <c r="C17" s="15">
        <f>SUMIFS(Data!$I:$I,Data!$A:$A,T2_Country,Data!$C:$C,T2_EndYear)</f>
        <v>63.28</v>
      </c>
      <c r="D17" s="2"/>
      <c r="E17" s="2"/>
      <c r="F17" s="2"/>
      <c r="G17" s="2"/>
      <c r="H17" s="2"/>
      <c r="I17" s="2"/>
      <c r="J17" s="15">
        <v>2016.0</v>
      </c>
      <c r="K17" s="15">
        <f>ROUND(SUMIFS(Data!$K:$K,Data!$A:$A,T2_Country,Data!$C:$C,$J17),2)</f>
        <v>49.47</v>
      </c>
      <c r="L17" s="2"/>
      <c r="M17" s="2"/>
      <c r="N17" s="2"/>
      <c r="O17" s="2"/>
      <c r="P17" s="2"/>
      <c r="Q17" s="2"/>
      <c r="R17" s="2"/>
      <c r="S17" s="2"/>
    </row>
    <row r="18" ht="15.0" customHeight="1">
      <c r="A18" s="2"/>
      <c r="B18" s="2"/>
      <c r="C18" s="2"/>
      <c r="D18" s="2"/>
      <c r="E18" s="2"/>
      <c r="F18" s="2"/>
      <c r="G18" s="2"/>
      <c r="H18" s="2"/>
      <c r="I18" s="2"/>
      <c r="J18" s="15">
        <v>2017.0</v>
      </c>
      <c r="K18" s="15">
        <f>ROUND(SUMIFS(Data!$K:$K,Data!$A:$A,T2_Country,Data!$C:$C,$J18),2)</f>
        <v>47.31</v>
      </c>
      <c r="L18" s="2"/>
      <c r="M18" s="2"/>
      <c r="N18" s="2"/>
      <c r="O18" s="2"/>
      <c r="P18" s="2"/>
      <c r="Q18" s="2"/>
      <c r="R18" s="2"/>
      <c r="S18" s="2"/>
    </row>
    <row r="19" ht="15.0" customHeight="1">
      <c r="A19" s="2"/>
      <c r="B19" s="2"/>
      <c r="C19" s="2"/>
      <c r="D19" s="2"/>
      <c r="E19" s="2"/>
      <c r="F19" s="2"/>
      <c r="G19" s="2"/>
      <c r="H19" s="2"/>
      <c r="I19" s="2"/>
      <c r="J19" s="15">
        <v>2018.0</v>
      </c>
      <c r="K19" s="15">
        <f>ROUND(SUMIFS(Data!$K:$K,Data!$A:$A,T2_Country,Data!$C:$C,$J19),2)</f>
        <v>47.57</v>
      </c>
      <c r="L19" s="2"/>
      <c r="M19" s="2"/>
      <c r="N19" s="2"/>
      <c r="O19" s="2"/>
      <c r="P19" s="2"/>
      <c r="Q19" s="2"/>
      <c r="R19" s="2"/>
      <c r="S19" s="2"/>
    </row>
    <row r="20" ht="15.0" customHeight="1">
      <c r="A20" s="2"/>
      <c r="B20" s="2"/>
      <c r="C20" s="2"/>
      <c r="D20" s="2"/>
      <c r="E20" s="2"/>
      <c r="F20" s="2"/>
      <c r="G20" s="2"/>
      <c r="H20" s="2"/>
      <c r="I20" s="2"/>
      <c r="J20" s="15">
        <v>2019.0</v>
      </c>
      <c r="K20" s="15">
        <f>ROUND(SUMIFS(Data!$K:$K,Data!$A:$A,T2_Country,Data!$C:$C,$J20),2)</f>
        <v>47.07</v>
      </c>
      <c r="L20" s="2"/>
      <c r="M20" s="2"/>
      <c r="N20" s="2"/>
      <c r="O20" s="2"/>
      <c r="P20" s="2"/>
      <c r="Q20" s="2"/>
      <c r="R20" s="2"/>
      <c r="S20" s="2"/>
    </row>
    <row r="21" ht="15.0" customHeight="1">
      <c r="A21" s="2"/>
      <c r="B21" s="2"/>
      <c r="C21" s="2"/>
      <c r="D21" s="2"/>
      <c r="E21" s="2"/>
      <c r="F21" s="2"/>
      <c r="G21" s="2"/>
      <c r="H21" s="2"/>
      <c r="I21" s="2"/>
      <c r="J21" s="15">
        <v>2020.0</v>
      </c>
      <c r="K21" s="15">
        <f>ROUND(SUMIFS(Data!$K:$K,Data!$A:$A,T2_Country,Data!$C:$C,$J21),2)</f>
        <v>47.08</v>
      </c>
      <c r="L21" s="2"/>
      <c r="M21" s="2"/>
      <c r="N21" s="2"/>
      <c r="O21" s="2"/>
      <c r="P21" s="2"/>
      <c r="Q21" s="2"/>
      <c r="R21" s="2"/>
      <c r="S21" s="2"/>
    </row>
    <row r="22" ht="15.0" customHeight="1">
      <c r="A22" s="2"/>
      <c r="B22" s="2"/>
      <c r="C22" s="2"/>
      <c r="D22" s="2"/>
      <c r="E22" s="2"/>
      <c r="F22" s="2"/>
      <c r="G22" s="2"/>
      <c r="H22" s="2"/>
      <c r="I22" s="2"/>
      <c r="J22" s="15">
        <v>2021.0</v>
      </c>
      <c r="K22" s="15">
        <f>ROUND(SUMIFS(Data!$K:$K,Data!$A:$A,T2_Country,Data!$C:$C,$J22),2)</f>
        <v>46.85</v>
      </c>
      <c r="L22" s="2"/>
      <c r="M22" s="2"/>
      <c r="N22" s="2"/>
      <c r="O22" s="2"/>
      <c r="P22" s="2"/>
      <c r="Q22" s="2"/>
      <c r="R22" s="2"/>
      <c r="S22" s="2"/>
    </row>
    <row r="23" ht="15.0" customHeight="1">
      <c r="A23" s="2"/>
      <c r="B23" s="2"/>
      <c r="C23" s="2"/>
      <c r="D23" s="2"/>
      <c r="E23" s="2"/>
      <c r="F23" s="2"/>
      <c r="G23" s="2"/>
      <c r="H23" s="2"/>
      <c r="I23" s="2"/>
      <c r="J23" s="15">
        <v>2022.0</v>
      </c>
      <c r="K23" s="15">
        <f>ROUND(SUMIFS(Data!$K:$K,Data!$A:$A,T2_Country,Data!$C:$C,$J23),2)</f>
        <v>47.23</v>
      </c>
      <c r="L23" s="2"/>
      <c r="M23" s="2"/>
      <c r="N23" s="2"/>
      <c r="O23" s="2"/>
      <c r="P23" s="2"/>
      <c r="Q23" s="2"/>
      <c r="R23" s="2"/>
      <c r="S23" s="2"/>
    </row>
    <row r="24" ht="15.0" customHeight="1">
      <c r="A24" s="2"/>
      <c r="B24" s="2"/>
      <c r="C24" s="2"/>
      <c r="D24" s="2"/>
      <c r="E24" s="2"/>
      <c r="F24" s="2"/>
      <c r="G24" s="2"/>
      <c r="H24" s="2"/>
      <c r="I24" s="2"/>
      <c r="J24" s="15">
        <v>2023.0</v>
      </c>
      <c r="K24" s="15">
        <f>ROUND(SUMIFS(Data!$K:$K,Data!$A:$A,T2_Country,Data!$C:$C,$J24),2)</f>
        <v>46.47</v>
      </c>
      <c r="L24" s="2"/>
      <c r="M24" s="2"/>
      <c r="N24" s="2"/>
      <c r="O24" s="2"/>
      <c r="P24" s="2"/>
      <c r="Q24" s="2"/>
      <c r="R24" s="2"/>
      <c r="S24" s="2"/>
    </row>
    <row r="25" ht="15.0" customHeight="1">
      <c r="A25" s="2"/>
      <c r="B25" s="2"/>
      <c r="C25" s="2"/>
      <c r="D25" s="2"/>
      <c r="E25" s="2"/>
      <c r="F25" s="2"/>
      <c r="G25" s="2"/>
      <c r="H25" s="2"/>
      <c r="I25" s="2"/>
      <c r="J25" s="15">
        <v>2024.0</v>
      </c>
      <c r="K25" s="15">
        <f>ROUND(SUMIFS(Data!$K:$K,Data!$A:$A,T2_Country,Data!$C:$C,$J25),2)</f>
        <v>46.59</v>
      </c>
      <c r="L25" s="2"/>
      <c r="M25" s="2"/>
      <c r="N25" s="2"/>
      <c r="O25" s="2"/>
      <c r="P25" s="2"/>
      <c r="Q25" s="2"/>
      <c r="R25" s="2"/>
      <c r="S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ht="15.0" customHeight="1">
      <c r="A29" s="2"/>
      <c r="B29" s="16"/>
      <c r="C29" s="2"/>
      <c r="D29" s="2"/>
      <c r="E29" s="2"/>
      <c r="F29" s="2"/>
      <c r="G29" s="2"/>
      <c r="H29" s="2"/>
      <c r="I29" s="2"/>
      <c r="J29" s="7" t="s">
        <v>132</v>
      </c>
      <c r="K29" s="2"/>
      <c r="L29" s="2"/>
      <c r="M29" s="2"/>
      <c r="N29" s="2"/>
      <c r="O29" s="2"/>
      <c r="P29" s="2"/>
      <c r="Q29" s="2"/>
      <c r="R29" s="2"/>
      <c r="S29" s="2"/>
    </row>
    <row r="30" ht="15.0" customHeight="1">
      <c r="A30" s="2"/>
      <c r="B30" s="2"/>
      <c r="C30" s="2"/>
      <c r="D30" s="2"/>
      <c r="E30" s="2"/>
      <c r="F30" s="2"/>
      <c r="G30" s="2"/>
      <c r="H30" s="2"/>
      <c r="I30" s="2"/>
      <c r="J30" s="1" t="s">
        <v>3</v>
      </c>
      <c r="K30" s="1" t="s">
        <v>133</v>
      </c>
      <c r="L30" s="1" t="s">
        <v>114</v>
      </c>
      <c r="M30" s="1" t="s">
        <v>134</v>
      </c>
      <c r="N30" s="1" t="s">
        <v>135</v>
      </c>
      <c r="O30" s="2"/>
      <c r="P30" s="2"/>
      <c r="Q30" s="2"/>
      <c r="R30" s="2"/>
      <c r="S30" s="2"/>
    </row>
    <row r="31" ht="15.0" customHeight="1">
      <c r="A31" s="2"/>
      <c r="B31" s="2"/>
      <c r="C31" s="2"/>
      <c r="D31" s="2"/>
      <c r="E31" s="2"/>
      <c r="F31" s="2"/>
      <c r="G31" s="2"/>
      <c r="H31" s="2"/>
      <c r="I31" s="2"/>
      <c r="J31" s="15">
        <v>2013.0</v>
      </c>
      <c r="K31" s="15">
        <f>ROUND(SUMIFS(Data!$F:$F,Data!$A:$A,T2_Country,Data!$C:$C,$J31),2)</f>
        <v>38.58</v>
      </c>
      <c r="L31" s="15">
        <f>ROUND(SUMIFS(Data!$G:$G,Data!$A:$A,T2_Country,Data!$C:$C,$J31),2)</f>
        <v>43.28</v>
      </c>
      <c r="M31" s="15">
        <f>ROUND(SUMIFS(Data!$H:$H,Data!$A:$A,T2_Country,Data!$C:$C,$J31),2)</f>
        <v>50.72</v>
      </c>
      <c r="N31" s="15">
        <f>ROUND(SUMIFS(Data!$I:$I,Data!$A:$A,T2_Country,Data!$C:$C,$J31),2)</f>
        <v>56.28</v>
      </c>
      <c r="O31" s="2"/>
      <c r="P31" s="2"/>
      <c r="Q31" s="2"/>
      <c r="R31" s="2"/>
      <c r="S31" s="2"/>
    </row>
    <row r="32" ht="15.0" customHeight="1">
      <c r="A32" s="2"/>
      <c r="B32" s="2"/>
      <c r="C32" s="2"/>
      <c r="D32" s="2"/>
      <c r="E32" s="2"/>
      <c r="F32" s="2"/>
      <c r="G32" s="2"/>
      <c r="H32" s="2"/>
      <c r="I32" s="2"/>
      <c r="J32" s="15">
        <v>2014.0</v>
      </c>
      <c r="K32" s="15">
        <f>ROUND(SUMIFS(Data!$F:$F,Data!$A:$A,T2_Country,Data!$C:$C,$J32),2)</f>
        <v>41.75</v>
      </c>
      <c r="L32" s="15">
        <f>ROUND(SUMIFS(Data!$G:$G,Data!$A:$A,T2_Country,Data!$C:$C,$J32),2)</f>
        <v>45.08</v>
      </c>
      <c r="M32" s="15">
        <f>ROUND(SUMIFS(Data!$H:$H,Data!$A:$A,T2_Country,Data!$C:$C,$J32),2)</f>
        <v>52.2</v>
      </c>
      <c r="N32" s="15">
        <f>ROUND(SUMIFS(Data!$I:$I,Data!$A:$A,T2_Country,Data!$C:$C,$J32),2)</f>
        <v>56.95</v>
      </c>
      <c r="O32" s="2"/>
      <c r="P32" s="2"/>
      <c r="Q32" s="2"/>
      <c r="R32" s="2"/>
      <c r="S32" s="2"/>
    </row>
    <row r="33" ht="15.0" customHeight="1">
      <c r="A33" s="2"/>
      <c r="B33" s="2"/>
      <c r="C33" s="2"/>
      <c r="D33" s="2"/>
      <c r="E33" s="2"/>
      <c r="F33" s="2"/>
      <c r="G33" s="2"/>
      <c r="H33" s="2"/>
      <c r="I33" s="2"/>
      <c r="J33" s="15">
        <v>2015.0</v>
      </c>
      <c r="K33" s="15">
        <f>ROUND(SUMIFS(Data!$F:$F,Data!$A:$A,T2_Country,Data!$C:$C,$J33),2)</f>
        <v>44.31</v>
      </c>
      <c r="L33" s="15">
        <f>ROUND(SUMIFS(Data!$G:$G,Data!$A:$A,T2_Country,Data!$C:$C,$J33),2)</f>
        <v>45.57</v>
      </c>
      <c r="M33" s="15">
        <f>ROUND(SUMIFS(Data!$H:$H,Data!$A:$A,T2_Country,Data!$C:$C,$J33),2)</f>
        <v>52.04</v>
      </c>
      <c r="N33" s="15">
        <f>ROUND(SUMIFS(Data!$I:$I,Data!$A:$A,T2_Country,Data!$C:$C,$J33),2)</f>
        <v>56.56</v>
      </c>
      <c r="O33" s="2"/>
      <c r="P33" s="2"/>
      <c r="Q33" s="2"/>
      <c r="R33" s="2"/>
      <c r="S33" s="2"/>
    </row>
    <row r="34" ht="15.0" customHeight="1">
      <c r="A34" s="2"/>
      <c r="B34" s="2"/>
      <c r="C34" s="2"/>
      <c r="D34" s="2"/>
      <c r="E34" s="2"/>
      <c r="F34" s="2"/>
      <c r="G34" s="2"/>
      <c r="H34" s="2"/>
      <c r="I34" s="2"/>
      <c r="J34" s="15">
        <v>2016.0</v>
      </c>
      <c r="K34" s="15">
        <f>ROUND(SUMIFS(Data!$F:$F,Data!$A:$A,T2_Country,Data!$C:$C,$J34),2)</f>
        <v>45.97</v>
      </c>
      <c r="L34" s="15">
        <f>ROUND(SUMIFS(Data!$G:$G,Data!$A:$A,T2_Country,Data!$C:$C,$J34),2)</f>
        <v>46.27</v>
      </c>
      <c r="M34" s="15">
        <f>ROUND(SUMIFS(Data!$H:$H,Data!$A:$A,T2_Country,Data!$C:$C,$J34),2)</f>
        <v>52.53</v>
      </c>
      <c r="N34" s="15">
        <f>ROUND(SUMIFS(Data!$I:$I,Data!$A:$A,T2_Country,Data!$C:$C,$J34),2)</f>
        <v>57.33</v>
      </c>
      <c r="O34" s="2"/>
      <c r="P34" s="2"/>
      <c r="Q34" s="2"/>
      <c r="R34" s="2"/>
      <c r="S34" s="2"/>
    </row>
    <row r="35" ht="15.0" customHeight="1">
      <c r="A35" s="2"/>
      <c r="B35" s="2"/>
      <c r="C35" s="2"/>
      <c r="D35" s="2"/>
      <c r="E35" s="2"/>
      <c r="F35" s="2"/>
      <c r="G35" s="2"/>
      <c r="H35" s="2"/>
      <c r="I35" s="2"/>
      <c r="J35" s="15">
        <v>2017.0</v>
      </c>
      <c r="K35" s="15">
        <f>ROUND(SUMIFS(Data!$F:$F,Data!$A:$A,T2_Country,Data!$C:$C,$J35),2)</f>
        <v>46.86</v>
      </c>
      <c r="L35" s="15">
        <f>ROUND(SUMIFS(Data!$G:$G,Data!$A:$A,T2_Country,Data!$C:$C,$J35),2)</f>
        <v>47.75</v>
      </c>
      <c r="M35" s="15">
        <f>ROUND(SUMIFS(Data!$H:$H,Data!$A:$A,T2_Country,Data!$C:$C,$J35),2)</f>
        <v>53.75</v>
      </c>
      <c r="N35" s="15">
        <f>ROUND(SUMIFS(Data!$I:$I,Data!$A:$A,T2_Country,Data!$C:$C,$J35),2)</f>
        <v>62.42</v>
      </c>
      <c r="O35" s="2"/>
      <c r="P35" s="2"/>
      <c r="Q35" s="2"/>
      <c r="R35" s="2"/>
      <c r="S35" s="2"/>
    </row>
    <row r="36" ht="15.0" customHeight="1">
      <c r="A36" s="2"/>
      <c r="B36" s="2"/>
      <c r="C36" s="2"/>
      <c r="D36" s="2"/>
      <c r="E36" s="2"/>
      <c r="F36" s="2"/>
      <c r="G36" s="2"/>
      <c r="H36" s="2"/>
      <c r="I36" s="2"/>
      <c r="J36" s="15">
        <v>2018.0</v>
      </c>
      <c r="K36" s="15">
        <f>ROUND(SUMIFS(Data!$F:$F,Data!$A:$A,T2_Country,Data!$C:$C,$J36),2)</f>
        <v>46.43</v>
      </c>
      <c r="L36" s="15">
        <f>ROUND(SUMIFS(Data!$G:$G,Data!$A:$A,T2_Country,Data!$C:$C,$J36),2)</f>
        <v>48.01</v>
      </c>
      <c r="M36" s="15">
        <f>ROUND(SUMIFS(Data!$H:$H,Data!$A:$A,T2_Country,Data!$C:$C,$J36),2)</f>
        <v>53.43</v>
      </c>
      <c r="N36" s="15">
        <f>ROUND(SUMIFS(Data!$I:$I,Data!$A:$A,T2_Country,Data!$C:$C,$J36),2)</f>
        <v>61.85</v>
      </c>
      <c r="O36" s="2"/>
      <c r="P36" s="2"/>
      <c r="Q36" s="2"/>
      <c r="R36" s="2"/>
      <c r="S36" s="2"/>
    </row>
    <row r="37" ht="15.0" customHeight="1">
      <c r="A37" s="2"/>
      <c r="B37" s="2"/>
      <c r="C37" s="2"/>
      <c r="D37" s="2"/>
      <c r="E37" s="2"/>
      <c r="F37" s="2"/>
      <c r="G37" s="2"/>
      <c r="H37" s="2"/>
      <c r="I37" s="2"/>
      <c r="J37" s="15">
        <v>2019.0</v>
      </c>
      <c r="K37" s="15">
        <f>ROUND(SUMIFS(Data!$F:$F,Data!$A:$A,T2_Country,Data!$C:$C,$J37),2)</f>
        <v>46.85</v>
      </c>
      <c r="L37" s="15">
        <f>ROUND(SUMIFS(Data!$G:$G,Data!$A:$A,T2_Country,Data!$C:$C,$J37),2)</f>
        <v>47.47</v>
      </c>
      <c r="M37" s="15">
        <f>ROUND(SUMIFS(Data!$H:$H,Data!$A:$A,T2_Country,Data!$C:$C,$J37),2)</f>
        <v>53.89</v>
      </c>
      <c r="N37" s="15">
        <f>ROUND(SUMIFS(Data!$I:$I,Data!$A:$A,T2_Country,Data!$C:$C,$J37),2)</f>
        <v>63.53</v>
      </c>
      <c r="O37" s="2"/>
      <c r="P37" s="2"/>
      <c r="Q37" s="2"/>
      <c r="R37" s="2"/>
      <c r="S37" s="2"/>
    </row>
    <row r="38" ht="15.0" customHeight="1">
      <c r="A38" s="2"/>
      <c r="B38" s="2"/>
      <c r="C38" s="2"/>
      <c r="D38" s="2"/>
      <c r="E38" s="2"/>
      <c r="F38" s="2"/>
      <c r="G38" s="2"/>
      <c r="H38" s="2"/>
      <c r="I38" s="2"/>
      <c r="J38" s="15">
        <v>2020.0</v>
      </c>
      <c r="K38" s="15">
        <f>ROUND(SUMIFS(Data!$F:$F,Data!$A:$A,T2_Country,Data!$C:$C,$J38),2)</f>
        <v>48.93</v>
      </c>
      <c r="L38" s="15">
        <f>ROUND(SUMIFS(Data!$G:$G,Data!$A:$A,T2_Country,Data!$C:$C,$J38),2)</f>
        <v>48.2</v>
      </c>
      <c r="M38" s="15">
        <f>ROUND(SUMIFS(Data!$H:$H,Data!$A:$A,T2_Country,Data!$C:$C,$J38),2)</f>
        <v>53.81</v>
      </c>
      <c r="N38" s="15">
        <f>ROUND(SUMIFS(Data!$I:$I,Data!$A:$A,T2_Country,Data!$C:$C,$J38),2)</f>
        <v>60.72</v>
      </c>
      <c r="O38" s="2"/>
      <c r="P38" s="2"/>
      <c r="Q38" s="2"/>
      <c r="R38" s="2"/>
      <c r="S38" s="2"/>
    </row>
    <row r="39" ht="15.0" customHeight="1">
      <c r="A39" s="2"/>
      <c r="B39" s="2"/>
      <c r="C39" s="2"/>
      <c r="D39" s="2"/>
      <c r="E39" s="2"/>
      <c r="F39" s="2"/>
      <c r="G39" s="2"/>
      <c r="H39" s="2"/>
      <c r="I39" s="2"/>
      <c r="J39" s="15">
        <v>2021.0</v>
      </c>
      <c r="K39" s="15">
        <f>ROUND(SUMIFS(Data!$F:$F,Data!$A:$A,T2_Country,Data!$C:$C,$J39),2)</f>
        <v>48.98</v>
      </c>
      <c r="L39" s="15">
        <f>ROUND(SUMIFS(Data!$G:$G,Data!$A:$A,T2_Country,Data!$C:$C,$J39),2)</f>
        <v>47.69</v>
      </c>
      <c r="M39" s="15">
        <f>ROUND(SUMIFS(Data!$H:$H,Data!$A:$A,T2_Country,Data!$C:$C,$J39),2)</f>
        <v>54.47</v>
      </c>
      <c r="N39" s="15">
        <f>ROUND(SUMIFS(Data!$I:$I,Data!$A:$A,T2_Country,Data!$C:$C,$J39),2)</f>
        <v>61.47</v>
      </c>
      <c r="O39" s="2"/>
      <c r="P39" s="2"/>
      <c r="Q39" s="2"/>
      <c r="R39" s="2"/>
      <c r="S39" s="2"/>
    </row>
    <row r="40" ht="15.0" customHeight="1">
      <c r="A40" s="2"/>
      <c r="B40" s="2"/>
      <c r="C40" s="2"/>
      <c r="D40" s="2"/>
      <c r="E40" s="2"/>
      <c r="F40" s="2"/>
      <c r="G40" s="2"/>
      <c r="H40" s="2"/>
      <c r="I40" s="2"/>
      <c r="J40" s="15">
        <v>2022.0</v>
      </c>
      <c r="K40" s="15">
        <f>ROUND(SUMIFS(Data!$F:$F,Data!$A:$A,T2_Country,Data!$C:$C,$J40),2)</f>
        <v>48.73</v>
      </c>
      <c r="L40" s="15">
        <f>ROUND(SUMIFS(Data!$G:$G,Data!$A:$A,T2_Country,Data!$C:$C,$J40),2)</f>
        <v>47.26</v>
      </c>
      <c r="M40" s="15">
        <f>ROUND(SUMIFS(Data!$H:$H,Data!$A:$A,T2_Country,Data!$C:$C,$J40),2)</f>
        <v>53.43</v>
      </c>
      <c r="N40" s="15">
        <f>ROUND(SUMIFS(Data!$I:$I,Data!$A:$A,T2_Country,Data!$C:$C,$J40),2)</f>
        <v>61.64</v>
      </c>
      <c r="O40" s="2"/>
      <c r="P40" s="2"/>
      <c r="Q40" s="2"/>
      <c r="R40" s="2"/>
      <c r="S40" s="2"/>
    </row>
    <row r="41" ht="15.0" customHeight="1">
      <c r="A41" s="2"/>
      <c r="B41" s="2"/>
      <c r="C41" s="2"/>
      <c r="D41" s="2"/>
      <c r="E41" s="2"/>
      <c r="F41" s="2"/>
      <c r="G41" s="2"/>
      <c r="H41" s="2"/>
      <c r="I41" s="2"/>
      <c r="J41" s="15">
        <v>2023.0</v>
      </c>
      <c r="K41" s="15">
        <f>ROUND(SUMIFS(Data!$F:$F,Data!$A:$A,T2_Country,Data!$C:$C,$J41),2)</f>
        <v>50.16</v>
      </c>
      <c r="L41" s="15">
        <f>ROUND(SUMIFS(Data!$G:$G,Data!$A:$A,T2_Country,Data!$C:$C,$J41),2)</f>
        <v>47.46</v>
      </c>
      <c r="M41" s="15">
        <f>ROUND(SUMIFS(Data!$H:$H,Data!$A:$A,T2_Country,Data!$C:$C,$J41),2)</f>
        <v>53.57</v>
      </c>
      <c r="N41" s="15">
        <f>ROUND(SUMIFS(Data!$I:$I,Data!$A:$A,T2_Country,Data!$C:$C,$J41),2)</f>
        <v>62.91</v>
      </c>
      <c r="O41" s="2"/>
      <c r="P41" s="2"/>
      <c r="Q41" s="2"/>
      <c r="R41" s="2"/>
      <c r="S41" s="2"/>
    </row>
    <row r="42" ht="15.0" customHeight="1">
      <c r="A42" s="2"/>
      <c r="B42" s="2"/>
      <c r="C42" s="2"/>
      <c r="D42" s="2"/>
      <c r="E42" s="2"/>
      <c r="F42" s="2"/>
      <c r="G42" s="2"/>
      <c r="H42" s="2"/>
      <c r="I42" s="2"/>
      <c r="J42" s="15">
        <v>2024.0</v>
      </c>
      <c r="K42" s="15">
        <f>ROUND(SUMIFS(Data!$F:$F,Data!$A:$A,T2_Country,Data!$C:$C,$J42),2)</f>
        <v>49.65</v>
      </c>
      <c r="L42" s="15">
        <f>ROUND(SUMIFS(Data!$G:$G,Data!$A:$A,T2_Country,Data!$C:$C,$J42),2)</f>
        <v>46.99</v>
      </c>
      <c r="M42" s="15">
        <f>ROUND(SUMIFS(Data!$H:$H,Data!$A:$A,T2_Country,Data!$C:$C,$J42),2)</f>
        <v>53.74</v>
      </c>
      <c r="N42" s="15">
        <f>ROUND(SUMIFS(Data!$I:$I,Data!$A:$A,T2_Country,Data!$C:$C,$J42),2)</f>
        <v>63.28</v>
      </c>
      <c r="O42" s="2"/>
      <c r="P42" s="2"/>
      <c r="Q42" s="2"/>
      <c r="R42" s="2"/>
      <c r="S42" s="2"/>
    </row>
    <row r="43" ht="15.75" customHeight="1">
      <c r="A43" s="2"/>
      <c r="B43" s="16" t="s">
        <v>140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ht="15.75" customHeight="1">
      <c r="A44" s="2"/>
      <c r="B44" s="1" t="s">
        <v>136</v>
      </c>
      <c r="C44" s="1" t="s">
        <v>137</v>
      </c>
      <c r="D44" s="1" t="s">
        <v>112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ht="15.75" customHeight="1">
      <c r="A45" s="2"/>
      <c r="B45" s="15">
        <v>1.0</v>
      </c>
      <c r="C45" s="15" t="str">
        <f t="array" ref="C45">IFERROR(INDEX(Calc_T2!$A$2:$A$36,MATCH($B45,Calc_T2!$E$2:$E$36,0)),"")</f>
        <v>Philippines</v>
      </c>
      <c r="D45" s="15">
        <f t="array" ref="D45">IFERROR(INDEX(Calc_T2!$C$2:$C$36,MATCH($B45,Calc_T2!$E$2:$E$36,0)),"")</f>
        <v>51.99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ht="15.75" customHeight="1">
      <c r="A46" s="2"/>
      <c r="B46" s="15">
        <v>2.0</v>
      </c>
      <c r="C46" s="15" t="str">
        <f t="array" ref="C46">IFERROR(INDEX(Calc_T2!$A$2:$A$36,MATCH($B46,Calc_T2!$E$2:$E$36,0)),"")</f>
        <v>Indonesia</v>
      </c>
      <c r="D46" s="15">
        <f t="array" ref="D46">IFERROR(INDEX(Calc_T2!$C$2:$C$36,MATCH($B46,Calc_T2!$E$2:$E$36,0)),"")</f>
        <v>49.36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ht="15.75" customHeight="1">
      <c r="A47" s="2"/>
      <c r="B47" s="15">
        <v>3.0</v>
      </c>
      <c r="C47" s="15" t="str">
        <f t="array" ref="C47">IFERROR(INDEX(Calc_T2!$A$2:$A$36,MATCH($B47,Calc_T2!$E$2:$E$36,0)),"")</f>
        <v>China</v>
      </c>
      <c r="D47" s="15">
        <f t="array" ref="D47">IFERROR(INDEX(Calc_T2!$C$2:$C$36,MATCH($B47,Calc_T2!$E$2:$E$36,0)),"")</f>
        <v>46.59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ht="15.75" customHeight="1">
      <c r="A48" s="2"/>
      <c r="B48" s="15">
        <v>4.0</v>
      </c>
      <c r="C48" s="15" t="str">
        <f t="array" ref="C48">IFERROR(INDEX(Calc_T2!$A$2:$A$36,MATCH($B48,Calc_T2!$E$2:$E$36,0)),"")</f>
        <v>Japan</v>
      </c>
      <c r="D48" s="15">
        <f t="array" ref="D48">IFERROR(INDEX(Calc_T2!$C$2:$C$36,MATCH($B48,Calc_T2!$E$2:$E$36,0)),"")</f>
        <v>20.15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ht="15.75" customHeight="1">
      <c r="A49" s="2"/>
      <c r="B49" s="15">
        <v>5.0</v>
      </c>
      <c r="C49" s="15" t="str">
        <f t="array" ref="C49">IFERROR(INDEX(Calc_T2!$A$2:$A$36,MATCH($B49,Calc_T2!$E$2:$E$36,0)),"")</f>
        <v>Australia</v>
      </c>
      <c r="D49" s="15">
        <f t="array" ref="D49">IFERROR(INDEX(Calc_T2!$C$2:$C$36,MATCH($B49,Calc_T2!$E$2:$E$36,0)),"")</f>
        <v>17.73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ht="15.75" customHeight="1">
      <c r="A50" s="2"/>
      <c r="B50" s="15">
        <v>6.0</v>
      </c>
      <c r="C50" s="15" t="str">
        <f t="array" ref="C50">IFERROR(INDEX(Calc_T2!$A$2:$A$36,MATCH($B50,Calc_T2!$E$2:$E$36,0)),"")</f>
        <v/>
      </c>
      <c r="D50" s="15" t="str">
        <f t="array" ref="D50">IFERROR(INDEX(Calc_T2!$C$2:$C$36,MATCH($B50,Calc_T2!$E$2:$E$36,0)),"")</f>
        <v/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ht="15.75" customHeight="1">
      <c r="A51" s="2"/>
      <c r="B51" s="15">
        <v>7.0</v>
      </c>
      <c r="C51" s="15" t="str">
        <f t="array" ref="C51">IFERROR(INDEX(Calc_T2!$A$2:$A$36,MATCH($B51,Calc_T2!$E$2:$E$36,0)),"")</f>
        <v/>
      </c>
      <c r="D51" s="15" t="str">
        <f t="array" ref="D51">IFERROR(INDEX(Calc_T2!$C$2:$C$36,MATCH($B51,Calc_T2!$E$2:$E$36,0)),"")</f>
        <v/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5.75" customHeight="1">
      <c r="A52" s="2"/>
      <c r="B52" s="15">
        <v>8.0</v>
      </c>
      <c r="C52" s="15" t="str">
        <f t="array" ref="C52">IFERROR(INDEX(Calc_T2!$A$2:$A$36,MATCH($B52,Calc_T2!$E$2:$E$36,0)),"")</f>
        <v/>
      </c>
      <c r="D52" s="15" t="str">
        <f t="array" ref="D52">IFERROR(INDEX(Calc_T2!$C$2:$C$36,MATCH($B52,Calc_T2!$E$2:$E$36,0)),"")</f>
        <v/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ht="15.75" customHeight="1">
      <c r="A53" s="2"/>
      <c r="B53" s="15">
        <v>9.0</v>
      </c>
      <c r="C53" s="15" t="str">
        <f t="array" ref="C53">IFERROR(INDEX(Calc_T2!$A$2:$A$36,MATCH($B53,Calc_T2!$E$2:$E$36,0)),"")</f>
        <v/>
      </c>
      <c r="D53" s="15" t="str">
        <f t="array" ref="D53">IFERROR(INDEX(Calc_T2!$C$2:$C$36,MATCH($B53,Calc_T2!$E$2:$E$36,0)),"")</f>
        <v/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ht="15.75" customHeight="1">
      <c r="A54" s="2"/>
      <c r="B54" s="15">
        <v>10.0</v>
      </c>
      <c r="C54" s="15" t="str">
        <f t="array" ref="C54">IFERROR(INDEX(Calc_T2!$A$2:$A$36,MATCH($B54,Calc_T2!$E$2:$E$36,0)),"")</f>
        <v/>
      </c>
      <c r="D54" s="15" t="str">
        <f t="array" ref="D54">IFERROR(INDEX(Calc_T2!$C$2:$C$36,MATCH($B54,Calc_T2!$E$2:$E$36,0)),"")</f>
        <v/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ht="15.0" customHeight="1">
      <c r="A55" s="2"/>
      <c r="B55" s="16" t="s">
        <v>144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ht="15.0" customHeight="1">
      <c r="A56" s="2"/>
      <c r="B56" s="18" t="s">
        <v>137</v>
      </c>
      <c r="C56" s="18" t="s">
        <v>2</v>
      </c>
      <c r="D56" s="18" t="s">
        <v>3</v>
      </c>
      <c r="E56" s="18" t="s">
        <v>133</v>
      </c>
      <c r="F56" s="18" t="s">
        <v>114</v>
      </c>
      <c r="G56" s="18" t="s">
        <v>134</v>
      </c>
      <c r="H56" s="18" t="s">
        <v>135</v>
      </c>
      <c r="I56" s="18" t="s">
        <v>145</v>
      </c>
      <c r="J56" s="18" t="s">
        <v>138</v>
      </c>
      <c r="K56" s="18" t="s">
        <v>139</v>
      </c>
      <c r="L56" s="2"/>
      <c r="M56" s="2"/>
      <c r="N56" s="2"/>
      <c r="O56" s="2"/>
      <c r="P56" s="2"/>
      <c r="Q56" s="2"/>
      <c r="R56" s="2"/>
      <c r="S56" s="2"/>
    </row>
    <row r="57" ht="15.0" customHeight="1">
      <c r="A57" s="2"/>
      <c r="B57" s="19" t="str">
        <f>T2_Country</f>
        <v>China</v>
      </c>
      <c r="C57" s="19" t="str">
        <f>Calc_T2!$H$1</f>
        <v>East Asia &amp; Pacific</v>
      </c>
      <c r="D57" s="19">
        <v>2013.0</v>
      </c>
      <c r="E57" s="19">
        <f>SUMIFS(Data!$F:$F,Data!$A:$A,T2_Country,Data!$C:$C,$D57)</f>
        <v>38.58</v>
      </c>
      <c r="F57" s="19">
        <f>SUMIFS(Data!$G:$G,Data!$A:$A,T2_Country,Data!$C:$C,$D57)</f>
        <v>43.28</v>
      </c>
      <c r="G57" s="19">
        <f>SUMIFS(Data!$H:$H,Data!$A:$A,T2_Country,Data!$C:$C,$D57)</f>
        <v>50.72</v>
      </c>
      <c r="H57" s="19">
        <f>SUMIFS(Data!$I:$I,Data!$A:$A,T2_Country,Data!$C:$C,$D57)</f>
        <v>56.28</v>
      </c>
      <c r="I57" s="19">
        <f>SUMIFS(Data!$J:$J,Data!$A:$A,T2_Country,Data!$C:$C,$D57)</f>
        <v>47.22</v>
      </c>
      <c r="J57" s="19">
        <f>SUMIFS(Data!$K:$K,Data!$A:$A,T2_Country,Data!$C:$C,$D57)</f>
        <v>52.78</v>
      </c>
      <c r="K57" s="19" t="str">
        <f t="shared" ref="K57:K68" si="1">IF($J57&gt;65,"High Risk",IF($J57&gt;=40,"Medium Risk","Low Risk"))</f>
        <v>Medium Risk</v>
      </c>
      <c r="L57" s="2"/>
      <c r="M57" s="2"/>
      <c r="N57" s="2"/>
      <c r="O57" s="2"/>
      <c r="P57" s="2"/>
      <c r="Q57" s="2"/>
      <c r="R57" s="2"/>
      <c r="S57" s="2"/>
    </row>
    <row r="58" ht="15.0" customHeight="1">
      <c r="A58" s="2"/>
      <c r="B58" s="19" t="str">
        <f>T2_Country</f>
        <v>China</v>
      </c>
      <c r="C58" s="19" t="str">
        <f>Calc_T2!$H$1</f>
        <v>East Asia &amp; Pacific</v>
      </c>
      <c r="D58" s="19">
        <v>2014.0</v>
      </c>
      <c r="E58" s="19">
        <f>SUMIFS(Data!$F:$F,Data!$A:$A,T2_Country,Data!$C:$C,$D58)</f>
        <v>41.75</v>
      </c>
      <c r="F58" s="19">
        <f>SUMIFS(Data!$G:$G,Data!$A:$A,T2_Country,Data!$C:$C,$D58)</f>
        <v>45.08</v>
      </c>
      <c r="G58" s="19">
        <f>SUMIFS(Data!$H:$H,Data!$A:$A,T2_Country,Data!$C:$C,$D58)</f>
        <v>52.2</v>
      </c>
      <c r="H58" s="19">
        <f>SUMIFS(Data!$I:$I,Data!$A:$A,T2_Country,Data!$C:$C,$D58)</f>
        <v>56.95</v>
      </c>
      <c r="I58" s="19">
        <f>SUMIFS(Data!$J:$J,Data!$A:$A,T2_Country,Data!$C:$C,$D58)</f>
        <v>48.99</v>
      </c>
      <c r="J58" s="19">
        <f>SUMIFS(Data!$K:$K,Data!$A:$A,T2_Country,Data!$C:$C,$D58)</f>
        <v>51.01</v>
      </c>
      <c r="K58" s="19" t="str">
        <f t="shared" si="1"/>
        <v>Medium Risk</v>
      </c>
      <c r="L58" s="2"/>
      <c r="M58" s="2"/>
      <c r="N58" s="2"/>
      <c r="O58" s="2"/>
      <c r="P58" s="2"/>
      <c r="Q58" s="2"/>
      <c r="R58" s="2"/>
      <c r="S58" s="2"/>
    </row>
    <row r="59" ht="15.0" customHeight="1">
      <c r="A59" s="2"/>
      <c r="B59" s="19" t="str">
        <f>T2_Country</f>
        <v>China</v>
      </c>
      <c r="C59" s="19" t="str">
        <f>Calc_T2!$H$1</f>
        <v>East Asia &amp; Pacific</v>
      </c>
      <c r="D59" s="19">
        <v>2015.0</v>
      </c>
      <c r="E59" s="19">
        <f>SUMIFS(Data!$F:$F,Data!$A:$A,T2_Country,Data!$C:$C,$D59)</f>
        <v>44.31</v>
      </c>
      <c r="F59" s="19">
        <f>SUMIFS(Data!$G:$G,Data!$A:$A,T2_Country,Data!$C:$C,$D59)</f>
        <v>45.57</v>
      </c>
      <c r="G59" s="19">
        <f>SUMIFS(Data!$H:$H,Data!$A:$A,T2_Country,Data!$C:$C,$D59)</f>
        <v>52.04</v>
      </c>
      <c r="H59" s="19">
        <f>SUMIFS(Data!$I:$I,Data!$A:$A,T2_Country,Data!$C:$C,$D59)</f>
        <v>56.56</v>
      </c>
      <c r="I59" s="19">
        <f>SUMIFS(Data!$J:$J,Data!$A:$A,T2_Country,Data!$C:$C,$D59)</f>
        <v>49.62</v>
      </c>
      <c r="J59" s="19">
        <f>SUMIFS(Data!$K:$K,Data!$A:$A,T2_Country,Data!$C:$C,$D59)</f>
        <v>50.38</v>
      </c>
      <c r="K59" s="19" t="str">
        <f t="shared" si="1"/>
        <v>Medium Risk</v>
      </c>
      <c r="L59" s="2"/>
      <c r="M59" s="2"/>
      <c r="N59" s="2"/>
      <c r="O59" s="2"/>
      <c r="P59" s="2"/>
      <c r="Q59" s="2"/>
      <c r="R59" s="2"/>
      <c r="S59" s="2"/>
    </row>
    <row r="60" ht="15.0" customHeight="1">
      <c r="A60" s="2"/>
      <c r="B60" s="19" t="str">
        <f>T2_Country</f>
        <v>China</v>
      </c>
      <c r="C60" s="19" t="str">
        <f>Calc_T2!$H$1</f>
        <v>East Asia &amp; Pacific</v>
      </c>
      <c r="D60" s="19">
        <v>2016.0</v>
      </c>
      <c r="E60" s="19">
        <f>SUMIFS(Data!$F:$F,Data!$A:$A,T2_Country,Data!$C:$C,$D60)</f>
        <v>45.97</v>
      </c>
      <c r="F60" s="19">
        <f>SUMIFS(Data!$G:$G,Data!$A:$A,T2_Country,Data!$C:$C,$D60)</f>
        <v>46.27</v>
      </c>
      <c r="G60" s="19">
        <f>SUMIFS(Data!$H:$H,Data!$A:$A,T2_Country,Data!$C:$C,$D60)</f>
        <v>52.53</v>
      </c>
      <c r="H60" s="19">
        <f>SUMIFS(Data!$I:$I,Data!$A:$A,T2_Country,Data!$C:$C,$D60)</f>
        <v>57.33</v>
      </c>
      <c r="I60" s="19">
        <f>SUMIFS(Data!$J:$J,Data!$A:$A,T2_Country,Data!$C:$C,$D60)</f>
        <v>50.53</v>
      </c>
      <c r="J60" s="19">
        <f>SUMIFS(Data!$K:$K,Data!$A:$A,T2_Country,Data!$C:$C,$D60)</f>
        <v>49.47</v>
      </c>
      <c r="K60" s="19" t="str">
        <f t="shared" si="1"/>
        <v>Medium Risk</v>
      </c>
      <c r="L60" s="2"/>
      <c r="M60" s="2"/>
      <c r="N60" s="2"/>
      <c r="O60" s="2"/>
      <c r="P60" s="2"/>
      <c r="Q60" s="2"/>
      <c r="R60" s="2"/>
      <c r="S60" s="2"/>
    </row>
    <row r="61" ht="15.0" customHeight="1">
      <c r="A61" s="2"/>
      <c r="B61" s="19" t="str">
        <f>T2_Country</f>
        <v>China</v>
      </c>
      <c r="C61" s="19" t="str">
        <f>Calc_T2!$H$1</f>
        <v>East Asia &amp; Pacific</v>
      </c>
      <c r="D61" s="19">
        <v>2017.0</v>
      </c>
      <c r="E61" s="19">
        <f>SUMIFS(Data!$F:$F,Data!$A:$A,T2_Country,Data!$C:$C,$D61)</f>
        <v>46.86</v>
      </c>
      <c r="F61" s="19">
        <f>SUMIFS(Data!$G:$G,Data!$A:$A,T2_Country,Data!$C:$C,$D61)</f>
        <v>47.75</v>
      </c>
      <c r="G61" s="19">
        <f>SUMIFS(Data!$H:$H,Data!$A:$A,T2_Country,Data!$C:$C,$D61)</f>
        <v>53.75</v>
      </c>
      <c r="H61" s="19">
        <f>SUMIFS(Data!$I:$I,Data!$A:$A,T2_Country,Data!$C:$C,$D61)</f>
        <v>62.42</v>
      </c>
      <c r="I61" s="19">
        <f>SUMIFS(Data!$J:$J,Data!$A:$A,T2_Country,Data!$C:$C,$D61)</f>
        <v>52.69</v>
      </c>
      <c r="J61" s="19">
        <f>SUMIFS(Data!$K:$K,Data!$A:$A,T2_Country,Data!$C:$C,$D61)</f>
        <v>47.31</v>
      </c>
      <c r="K61" s="19" t="str">
        <f t="shared" si="1"/>
        <v>Medium Risk</v>
      </c>
      <c r="L61" s="2"/>
      <c r="M61" s="2"/>
      <c r="N61" s="2"/>
      <c r="O61" s="2"/>
      <c r="P61" s="2"/>
      <c r="Q61" s="2"/>
      <c r="R61" s="2"/>
      <c r="S61" s="2"/>
    </row>
    <row r="62" ht="15.0" customHeight="1">
      <c r="A62" s="2"/>
      <c r="B62" s="19" t="str">
        <f>T2_Country</f>
        <v>China</v>
      </c>
      <c r="C62" s="19" t="str">
        <f>Calc_T2!$H$1</f>
        <v>East Asia &amp; Pacific</v>
      </c>
      <c r="D62" s="19">
        <v>2018.0</v>
      </c>
      <c r="E62" s="19">
        <f>SUMIFS(Data!$F:$F,Data!$A:$A,T2_Country,Data!$C:$C,$D62)</f>
        <v>46.43</v>
      </c>
      <c r="F62" s="19">
        <f>SUMIFS(Data!$G:$G,Data!$A:$A,T2_Country,Data!$C:$C,$D62)</f>
        <v>48.01</v>
      </c>
      <c r="G62" s="19">
        <f>SUMIFS(Data!$H:$H,Data!$A:$A,T2_Country,Data!$C:$C,$D62)</f>
        <v>53.43</v>
      </c>
      <c r="H62" s="19">
        <f>SUMIFS(Data!$I:$I,Data!$A:$A,T2_Country,Data!$C:$C,$D62)</f>
        <v>61.85</v>
      </c>
      <c r="I62" s="19">
        <f>SUMIFS(Data!$J:$J,Data!$A:$A,T2_Country,Data!$C:$C,$D62)</f>
        <v>52.43</v>
      </c>
      <c r="J62" s="19">
        <f>SUMIFS(Data!$K:$K,Data!$A:$A,T2_Country,Data!$C:$C,$D62)</f>
        <v>47.57</v>
      </c>
      <c r="K62" s="19" t="str">
        <f t="shared" si="1"/>
        <v>Medium Risk</v>
      </c>
      <c r="L62" s="2"/>
      <c r="M62" s="2"/>
      <c r="N62" s="2"/>
      <c r="O62" s="2"/>
      <c r="P62" s="2"/>
      <c r="Q62" s="2"/>
      <c r="R62" s="2"/>
      <c r="S62" s="2"/>
    </row>
    <row r="63" ht="15.0" customHeight="1">
      <c r="A63" s="2"/>
      <c r="B63" s="19" t="str">
        <f>T2_Country</f>
        <v>China</v>
      </c>
      <c r="C63" s="19" t="str">
        <f>Calc_T2!$H$1</f>
        <v>East Asia &amp; Pacific</v>
      </c>
      <c r="D63" s="19">
        <v>2019.0</v>
      </c>
      <c r="E63" s="19">
        <f>SUMIFS(Data!$F:$F,Data!$A:$A,T2_Country,Data!$C:$C,$D63)</f>
        <v>46.85</v>
      </c>
      <c r="F63" s="19">
        <f>SUMIFS(Data!$G:$G,Data!$A:$A,T2_Country,Data!$C:$C,$D63)</f>
        <v>47.47</v>
      </c>
      <c r="G63" s="19">
        <f>SUMIFS(Data!$H:$H,Data!$A:$A,T2_Country,Data!$C:$C,$D63)</f>
        <v>53.89</v>
      </c>
      <c r="H63" s="19">
        <f>SUMIFS(Data!$I:$I,Data!$A:$A,T2_Country,Data!$C:$C,$D63)</f>
        <v>63.53</v>
      </c>
      <c r="I63" s="19">
        <f>SUMIFS(Data!$J:$J,Data!$A:$A,T2_Country,Data!$C:$C,$D63)</f>
        <v>52.93</v>
      </c>
      <c r="J63" s="19">
        <f>SUMIFS(Data!$K:$K,Data!$A:$A,T2_Country,Data!$C:$C,$D63)</f>
        <v>47.07</v>
      </c>
      <c r="K63" s="19" t="str">
        <f t="shared" si="1"/>
        <v>Medium Risk</v>
      </c>
      <c r="L63" s="2"/>
      <c r="M63" s="2"/>
      <c r="N63" s="2"/>
      <c r="O63" s="2"/>
      <c r="P63" s="2"/>
      <c r="Q63" s="2"/>
      <c r="R63" s="2"/>
      <c r="S63" s="2"/>
    </row>
    <row r="64" ht="15.0" customHeight="1">
      <c r="A64" s="2"/>
      <c r="B64" s="19" t="str">
        <f>T2_Country</f>
        <v>China</v>
      </c>
      <c r="C64" s="19" t="str">
        <f>Calc_T2!$H$1</f>
        <v>East Asia &amp; Pacific</v>
      </c>
      <c r="D64" s="19">
        <v>2020.0</v>
      </c>
      <c r="E64" s="19">
        <f>SUMIFS(Data!$F:$F,Data!$A:$A,T2_Country,Data!$C:$C,$D64)</f>
        <v>48.93</v>
      </c>
      <c r="F64" s="19">
        <f>SUMIFS(Data!$G:$G,Data!$A:$A,T2_Country,Data!$C:$C,$D64)</f>
        <v>48.2</v>
      </c>
      <c r="G64" s="19">
        <f>SUMIFS(Data!$H:$H,Data!$A:$A,T2_Country,Data!$C:$C,$D64)</f>
        <v>53.81</v>
      </c>
      <c r="H64" s="19">
        <f>SUMIFS(Data!$I:$I,Data!$A:$A,T2_Country,Data!$C:$C,$D64)</f>
        <v>60.72</v>
      </c>
      <c r="I64" s="19">
        <f>SUMIFS(Data!$J:$J,Data!$A:$A,T2_Country,Data!$C:$C,$D64)</f>
        <v>52.92</v>
      </c>
      <c r="J64" s="19">
        <f>SUMIFS(Data!$K:$K,Data!$A:$A,T2_Country,Data!$C:$C,$D64)</f>
        <v>47.08</v>
      </c>
      <c r="K64" s="19" t="str">
        <f t="shared" si="1"/>
        <v>Medium Risk</v>
      </c>
      <c r="L64" s="2"/>
      <c r="M64" s="2"/>
      <c r="N64" s="2"/>
      <c r="O64" s="2"/>
      <c r="P64" s="2"/>
      <c r="Q64" s="2"/>
      <c r="R64" s="2"/>
      <c r="S64" s="2"/>
    </row>
    <row r="65" ht="15.0" customHeight="1">
      <c r="A65" s="2"/>
      <c r="B65" s="19" t="str">
        <f>T2_Country</f>
        <v>China</v>
      </c>
      <c r="C65" s="19" t="str">
        <f>Calc_T2!$H$1</f>
        <v>East Asia &amp; Pacific</v>
      </c>
      <c r="D65" s="19">
        <v>2021.0</v>
      </c>
      <c r="E65" s="19">
        <f>SUMIFS(Data!$F:$F,Data!$A:$A,T2_Country,Data!$C:$C,$D65)</f>
        <v>48.98</v>
      </c>
      <c r="F65" s="19">
        <f>SUMIFS(Data!$G:$G,Data!$A:$A,T2_Country,Data!$C:$C,$D65)</f>
        <v>47.69</v>
      </c>
      <c r="G65" s="19">
        <f>SUMIFS(Data!$H:$H,Data!$A:$A,T2_Country,Data!$C:$C,$D65)</f>
        <v>54.47</v>
      </c>
      <c r="H65" s="19">
        <f>SUMIFS(Data!$I:$I,Data!$A:$A,T2_Country,Data!$C:$C,$D65)</f>
        <v>61.47</v>
      </c>
      <c r="I65" s="19">
        <f>SUMIFS(Data!$J:$J,Data!$A:$A,T2_Country,Data!$C:$C,$D65)</f>
        <v>53.15</v>
      </c>
      <c r="J65" s="19">
        <f>SUMIFS(Data!$K:$K,Data!$A:$A,T2_Country,Data!$C:$C,$D65)</f>
        <v>46.85</v>
      </c>
      <c r="K65" s="19" t="str">
        <f t="shared" si="1"/>
        <v>Medium Risk</v>
      </c>
      <c r="L65" s="2"/>
      <c r="M65" s="2"/>
      <c r="N65" s="2"/>
      <c r="O65" s="2"/>
      <c r="P65" s="2"/>
      <c r="Q65" s="2"/>
      <c r="R65" s="2"/>
      <c r="S65" s="2"/>
    </row>
    <row r="66" ht="15.0" customHeight="1">
      <c r="A66" s="2"/>
      <c r="B66" s="19" t="str">
        <f>T2_Country</f>
        <v>China</v>
      </c>
      <c r="C66" s="19" t="str">
        <f>Calc_T2!$H$1</f>
        <v>East Asia &amp; Pacific</v>
      </c>
      <c r="D66" s="19">
        <v>2022.0</v>
      </c>
      <c r="E66" s="19">
        <f>SUMIFS(Data!$F:$F,Data!$A:$A,T2_Country,Data!$C:$C,$D66)</f>
        <v>48.73</v>
      </c>
      <c r="F66" s="19">
        <f>SUMIFS(Data!$G:$G,Data!$A:$A,T2_Country,Data!$C:$C,$D66)</f>
        <v>47.26</v>
      </c>
      <c r="G66" s="19">
        <f>SUMIFS(Data!$H:$H,Data!$A:$A,T2_Country,Data!$C:$C,$D66)</f>
        <v>53.43</v>
      </c>
      <c r="H66" s="19">
        <f>SUMIFS(Data!$I:$I,Data!$A:$A,T2_Country,Data!$C:$C,$D66)</f>
        <v>61.64</v>
      </c>
      <c r="I66" s="19">
        <f>SUMIFS(Data!$J:$J,Data!$A:$A,T2_Country,Data!$C:$C,$D66)</f>
        <v>52.77</v>
      </c>
      <c r="J66" s="19">
        <f>SUMIFS(Data!$K:$K,Data!$A:$A,T2_Country,Data!$C:$C,$D66)</f>
        <v>47.23</v>
      </c>
      <c r="K66" s="19" t="str">
        <f t="shared" si="1"/>
        <v>Medium Risk</v>
      </c>
      <c r="L66" s="2"/>
      <c r="M66" s="2"/>
      <c r="N66" s="2"/>
      <c r="O66" s="2"/>
      <c r="P66" s="2"/>
      <c r="Q66" s="2"/>
      <c r="R66" s="2"/>
      <c r="S66" s="2"/>
    </row>
    <row r="67" ht="15.0" customHeight="1">
      <c r="A67" s="2"/>
      <c r="B67" s="19" t="str">
        <f>T2_Country</f>
        <v>China</v>
      </c>
      <c r="C67" s="19" t="str">
        <f>Calc_T2!$H$1</f>
        <v>East Asia &amp; Pacific</v>
      </c>
      <c r="D67" s="19">
        <v>2023.0</v>
      </c>
      <c r="E67" s="19">
        <f>SUMIFS(Data!$F:$F,Data!$A:$A,T2_Country,Data!$C:$C,$D67)</f>
        <v>50.16</v>
      </c>
      <c r="F67" s="19">
        <f>SUMIFS(Data!$G:$G,Data!$A:$A,T2_Country,Data!$C:$C,$D67)</f>
        <v>47.46</v>
      </c>
      <c r="G67" s="19">
        <f>SUMIFS(Data!$H:$H,Data!$A:$A,T2_Country,Data!$C:$C,$D67)</f>
        <v>53.57</v>
      </c>
      <c r="H67" s="19">
        <f>SUMIFS(Data!$I:$I,Data!$A:$A,T2_Country,Data!$C:$C,$D67)</f>
        <v>62.91</v>
      </c>
      <c r="I67" s="19">
        <f>SUMIFS(Data!$J:$J,Data!$A:$A,T2_Country,Data!$C:$C,$D67)</f>
        <v>53.53</v>
      </c>
      <c r="J67" s="19">
        <f>SUMIFS(Data!$K:$K,Data!$A:$A,T2_Country,Data!$C:$C,$D67)</f>
        <v>46.47</v>
      </c>
      <c r="K67" s="19" t="str">
        <f t="shared" si="1"/>
        <v>Medium Risk</v>
      </c>
      <c r="L67" s="2"/>
      <c r="M67" s="2"/>
      <c r="N67" s="2"/>
      <c r="O67" s="2"/>
      <c r="P67" s="2"/>
      <c r="Q67" s="2"/>
      <c r="R67" s="2"/>
      <c r="S67" s="2"/>
    </row>
    <row r="68" ht="15.0" customHeight="1">
      <c r="A68" s="2"/>
      <c r="B68" s="19" t="str">
        <f>T2_Country</f>
        <v>China</v>
      </c>
      <c r="C68" s="19" t="str">
        <f>Calc_T2!$H$1</f>
        <v>East Asia &amp; Pacific</v>
      </c>
      <c r="D68" s="19">
        <v>2024.0</v>
      </c>
      <c r="E68" s="19">
        <f>SUMIFS(Data!$F:$F,Data!$A:$A,T2_Country,Data!$C:$C,$D68)</f>
        <v>49.65</v>
      </c>
      <c r="F68" s="19">
        <f>SUMIFS(Data!$G:$G,Data!$A:$A,T2_Country,Data!$C:$C,$D68)</f>
        <v>46.99</v>
      </c>
      <c r="G68" s="19">
        <f>SUMIFS(Data!$H:$H,Data!$A:$A,T2_Country,Data!$C:$C,$D68)</f>
        <v>53.74</v>
      </c>
      <c r="H68" s="19">
        <f>SUMIFS(Data!$I:$I,Data!$A:$A,T2_Country,Data!$C:$C,$D68)</f>
        <v>63.28</v>
      </c>
      <c r="I68" s="19">
        <f>SUMIFS(Data!$J:$J,Data!$A:$A,T2_Country,Data!$C:$C,$D68)</f>
        <v>53.41</v>
      </c>
      <c r="J68" s="19">
        <f>SUMIFS(Data!$K:$K,Data!$A:$A,T2_Country,Data!$C:$C,$D68)</f>
        <v>46.59</v>
      </c>
      <c r="K68" s="19" t="str">
        <f t="shared" si="1"/>
        <v>Medium Risk</v>
      </c>
      <c r="L68" s="2"/>
      <c r="M68" s="2"/>
      <c r="N68" s="2"/>
      <c r="O68" s="2"/>
      <c r="P68" s="2"/>
      <c r="Q68" s="2"/>
      <c r="R68" s="2"/>
      <c r="S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</row>
  </sheetData>
  <mergeCells count="10">
    <mergeCell ref="E8:G8"/>
    <mergeCell ref="H8:J8"/>
    <mergeCell ref="B1:S1"/>
    <mergeCell ref="B2:S2"/>
    <mergeCell ref="B7:D7"/>
    <mergeCell ref="E7:G7"/>
    <mergeCell ref="H7:J7"/>
    <mergeCell ref="K7:M7"/>
    <mergeCell ref="B8:D8"/>
    <mergeCell ref="K8:M8"/>
  </mergeCells>
  <dataValidations>
    <dataValidation type="list" allowBlank="1" sqref="C5">
      <formula1>CountryMeta!$A$2:$A$36</formula1>
    </dataValidation>
    <dataValidation type="list" allowBlank="1" sqref="F5 I5">
      <formula1>Lookups!$C$2:$C$13</formula1>
    </dataValidation>
  </dataValidations>
  <printOptions/>
  <pageMargins bottom="0.3" footer="0.0" header="0.0" left="0.3" right="0.3" top="0.3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6A6A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14" width="16.0"/>
    <col customWidth="1" min="15" max="15" width="24.14"/>
    <col customWidth="1" min="16" max="26" width="8.71"/>
  </cols>
  <sheetData>
    <row r="1" ht="15.0" customHeight="1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12</v>
      </c>
      <c r="K1" s="1" t="s">
        <v>14</v>
      </c>
      <c r="L1" s="1" t="s">
        <v>15</v>
      </c>
      <c r="M1" s="1" t="s">
        <v>18</v>
      </c>
      <c r="N1" s="1" t="s">
        <v>21</v>
      </c>
      <c r="O1" s="1" t="s">
        <v>22</v>
      </c>
    </row>
    <row r="2" ht="15.0" customHeight="1">
      <c r="A2" s="2" t="s">
        <v>5</v>
      </c>
      <c r="B2" s="2" t="s">
        <v>10</v>
      </c>
      <c r="C2" s="2">
        <v>2013.0</v>
      </c>
      <c r="D2" s="2" t="s">
        <v>11</v>
      </c>
      <c r="E2" s="2" t="s">
        <v>13</v>
      </c>
      <c r="F2" s="2">
        <v>37.38</v>
      </c>
      <c r="G2" s="2">
        <v>47.05</v>
      </c>
      <c r="H2" s="2">
        <v>41.69</v>
      </c>
      <c r="I2" s="2">
        <v>66.45</v>
      </c>
      <c r="J2" s="2">
        <v>48.14</v>
      </c>
      <c r="K2" s="2">
        <v>51.86</v>
      </c>
      <c r="L2" s="2" t="s">
        <v>29</v>
      </c>
      <c r="M2" s="2">
        <v>12963.68</v>
      </c>
      <c r="N2" s="2" t="str">
        <f t="shared" ref="N2:N421" si="1">IF(K2&gt;65,"High Risk",IF(K2&gt;=40,"Medium Risk","Low Risk"))</f>
        <v>Medium Risk</v>
      </c>
      <c r="O2" s="2" t="b">
        <f>AND(OR($D2=T1_Region,T1_Region="All Regions"),OR($E2=T1_Income,T1_Income="All Income Groups"))</f>
        <v>1</v>
      </c>
    </row>
    <row r="3" ht="15.0" customHeight="1">
      <c r="A3" s="2" t="s">
        <v>5</v>
      </c>
      <c r="B3" s="2" t="s">
        <v>10</v>
      </c>
      <c r="C3" s="2">
        <v>2014.0</v>
      </c>
      <c r="D3" s="2" t="s">
        <v>11</v>
      </c>
      <c r="E3" s="2" t="s">
        <v>13</v>
      </c>
      <c r="F3" s="2">
        <v>34.37</v>
      </c>
      <c r="G3" s="2">
        <v>44.4</v>
      </c>
      <c r="H3" s="2">
        <v>38.89</v>
      </c>
      <c r="I3" s="2">
        <v>65.67</v>
      </c>
      <c r="J3" s="2">
        <v>45.83</v>
      </c>
      <c r="K3" s="2">
        <v>54.17</v>
      </c>
      <c r="L3" s="2" t="s">
        <v>29</v>
      </c>
      <c r="M3" s="2">
        <v>12233.14</v>
      </c>
      <c r="N3" s="2" t="str">
        <f t="shared" si="1"/>
        <v>Medium Risk</v>
      </c>
      <c r="O3" s="2" t="b">
        <f>AND(OR($D3=T1_Region,T1_Region="All Regions"),OR($E3=T1_Income,T1_Income="All Income Groups"))</f>
        <v>1</v>
      </c>
    </row>
    <row r="4" ht="15.0" customHeight="1">
      <c r="A4" s="2" t="s">
        <v>5</v>
      </c>
      <c r="B4" s="2" t="s">
        <v>10</v>
      </c>
      <c r="C4" s="2">
        <v>2015.0</v>
      </c>
      <c r="D4" s="2" t="s">
        <v>11</v>
      </c>
      <c r="E4" s="2" t="s">
        <v>13</v>
      </c>
      <c r="F4" s="2">
        <v>34.8</v>
      </c>
      <c r="G4" s="2">
        <v>48.92</v>
      </c>
      <c r="H4" s="2">
        <v>42.29</v>
      </c>
      <c r="I4" s="2">
        <v>65.37</v>
      </c>
      <c r="J4" s="2">
        <v>47.84</v>
      </c>
      <c r="K4" s="2">
        <v>52.16</v>
      </c>
      <c r="L4" s="2" t="s">
        <v>29</v>
      </c>
      <c r="M4" s="2">
        <v>13679.63</v>
      </c>
      <c r="N4" s="2" t="str">
        <f t="shared" si="1"/>
        <v>Medium Risk</v>
      </c>
      <c r="O4" s="2" t="b">
        <f>AND(OR($D4=T1_Region,T1_Region="All Regions"),OR($E4=T1_Income,T1_Income="All Income Groups"))</f>
        <v>1</v>
      </c>
    </row>
    <row r="5" ht="15.0" customHeight="1">
      <c r="A5" s="2" t="s">
        <v>5</v>
      </c>
      <c r="B5" s="2" t="s">
        <v>10</v>
      </c>
      <c r="C5" s="2">
        <v>2016.0</v>
      </c>
      <c r="D5" s="2" t="s">
        <v>11</v>
      </c>
      <c r="E5" s="2" t="s">
        <v>13</v>
      </c>
      <c r="F5" s="2">
        <v>43.41</v>
      </c>
      <c r="G5" s="2">
        <v>52.89</v>
      </c>
      <c r="H5" s="2">
        <v>50.88</v>
      </c>
      <c r="I5" s="2">
        <v>69.2</v>
      </c>
      <c r="J5" s="2">
        <v>54.1</v>
      </c>
      <c r="K5" s="2">
        <v>45.9</v>
      </c>
      <c r="L5" s="2" t="s">
        <v>29</v>
      </c>
      <c r="M5" s="2">
        <v>12699.96</v>
      </c>
      <c r="N5" s="2" t="str">
        <f t="shared" si="1"/>
        <v>Medium Risk</v>
      </c>
      <c r="O5" s="2" t="b">
        <f>AND(OR($D5=T1_Region,T1_Region="All Regions"),OR($E5=T1_Income,T1_Income="All Income Groups"))</f>
        <v>1</v>
      </c>
    </row>
    <row r="6" ht="15.0" customHeight="1">
      <c r="A6" s="2" t="s">
        <v>5</v>
      </c>
      <c r="B6" s="2" t="s">
        <v>10</v>
      </c>
      <c r="C6" s="2">
        <v>2017.0</v>
      </c>
      <c r="D6" s="2" t="s">
        <v>11</v>
      </c>
      <c r="E6" s="2" t="s">
        <v>13</v>
      </c>
      <c r="F6" s="2">
        <v>44.25</v>
      </c>
      <c r="G6" s="2">
        <v>54.0</v>
      </c>
      <c r="H6" s="2">
        <v>52.96</v>
      </c>
      <c r="I6" s="2">
        <v>69.98</v>
      </c>
      <c r="J6" s="2">
        <v>55.3</v>
      </c>
      <c r="K6" s="2">
        <v>44.7</v>
      </c>
      <c r="L6" s="2" t="s">
        <v>29</v>
      </c>
      <c r="M6" s="2">
        <v>14532.5</v>
      </c>
      <c r="N6" s="2" t="str">
        <f t="shared" si="1"/>
        <v>Medium Risk</v>
      </c>
      <c r="O6" s="2" t="b">
        <f>AND(OR($D6=T1_Region,T1_Region="All Regions"),OR($E6=T1_Income,T1_Income="All Income Groups"))</f>
        <v>1</v>
      </c>
    </row>
    <row r="7" ht="15.0" customHeight="1">
      <c r="A7" s="2" t="s">
        <v>5</v>
      </c>
      <c r="B7" s="2" t="s">
        <v>10</v>
      </c>
      <c r="C7" s="2">
        <v>2018.0</v>
      </c>
      <c r="D7" s="2" t="s">
        <v>11</v>
      </c>
      <c r="E7" s="2" t="s">
        <v>13</v>
      </c>
      <c r="F7" s="2">
        <v>47.74</v>
      </c>
      <c r="G7" s="2">
        <v>53.48</v>
      </c>
      <c r="H7" s="2">
        <v>51.86</v>
      </c>
      <c r="I7" s="2">
        <v>67.95</v>
      </c>
      <c r="J7" s="2">
        <v>55.26</v>
      </c>
      <c r="K7" s="2">
        <v>44.74</v>
      </c>
      <c r="L7" s="2" t="s">
        <v>29</v>
      </c>
      <c r="M7" s="2">
        <v>11752.8</v>
      </c>
      <c r="N7" s="2" t="str">
        <f t="shared" si="1"/>
        <v>Medium Risk</v>
      </c>
      <c r="O7" s="2" t="b">
        <f>AND(OR($D7=T1_Region,T1_Region="All Regions"),OR($E7=T1_Income,T1_Income="All Income Groups"))</f>
        <v>1</v>
      </c>
    </row>
    <row r="8" ht="15.0" customHeight="1">
      <c r="A8" s="2" t="s">
        <v>5</v>
      </c>
      <c r="B8" s="2" t="s">
        <v>10</v>
      </c>
      <c r="C8" s="2">
        <v>2019.0</v>
      </c>
      <c r="D8" s="2" t="s">
        <v>11</v>
      </c>
      <c r="E8" s="2" t="s">
        <v>13</v>
      </c>
      <c r="F8" s="2">
        <v>46.14</v>
      </c>
      <c r="G8" s="2">
        <v>51.15</v>
      </c>
      <c r="H8" s="2">
        <v>47.78</v>
      </c>
      <c r="I8" s="2">
        <v>66.87</v>
      </c>
      <c r="J8" s="2">
        <v>52.98</v>
      </c>
      <c r="K8" s="2">
        <v>47.02</v>
      </c>
      <c r="L8" s="2" t="s">
        <v>29</v>
      </c>
      <c r="M8" s="2">
        <v>9955.97</v>
      </c>
      <c r="N8" s="2" t="str">
        <f t="shared" si="1"/>
        <v>Medium Risk</v>
      </c>
      <c r="O8" s="2" t="b">
        <f>AND(OR($D8=T1_Region,T1_Region="All Regions"),OR($E8=T1_Income,T1_Income="All Income Groups"))</f>
        <v>1</v>
      </c>
    </row>
    <row r="9" ht="15.0" customHeight="1">
      <c r="A9" s="2" t="s">
        <v>5</v>
      </c>
      <c r="B9" s="2" t="s">
        <v>10</v>
      </c>
      <c r="C9" s="2">
        <v>2020.0</v>
      </c>
      <c r="D9" s="2" t="s">
        <v>11</v>
      </c>
      <c r="E9" s="2" t="s">
        <v>13</v>
      </c>
      <c r="F9" s="2">
        <v>45.13</v>
      </c>
      <c r="G9" s="2">
        <v>51.96</v>
      </c>
      <c r="H9" s="2">
        <v>46.23</v>
      </c>
      <c r="I9" s="2">
        <v>66.84</v>
      </c>
      <c r="J9" s="2">
        <v>52.54</v>
      </c>
      <c r="K9" s="2">
        <v>47.46</v>
      </c>
      <c r="L9" s="2" t="s">
        <v>29</v>
      </c>
      <c r="M9" s="2">
        <v>8535.6</v>
      </c>
      <c r="N9" s="2" t="str">
        <f t="shared" si="1"/>
        <v>Medium Risk</v>
      </c>
      <c r="O9" s="2" t="b">
        <f>AND(OR($D9=T1_Region,T1_Region="All Regions"),OR($E9=T1_Income,T1_Income="All Income Groups"))</f>
        <v>1</v>
      </c>
    </row>
    <row r="10" ht="15.0" customHeight="1">
      <c r="A10" s="2" t="s">
        <v>5</v>
      </c>
      <c r="B10" s="2" t="s">
        <v>10</v>
      </c>
      <c r="C10" s="2">
        <v>2021.0</v>
      </c>
      <c r="D10" s="2" t="s">
        <v>11</v>
      </c>
      <c r="E10" s="2" t="s">
        <v>13</v>
      </c>
      <c r="F10" s="2">
        <v>41.23</v>
      </c>
      <c r="G10" s="2">
        <v>51.73</v>
      </c>
      <c r="H10" s="2">
        <v>45.65</v>
      </c>
      <c r="I10" s="2">
        <v>67.47</v>
      </c>
      <c r="J10" s="2">
        <v>51.52</v>
      </c>
      <c r="K10" s="2">
        <v>48.48</v>
      </c>
      <c r="L10" s="2" t="s">
        <v>29</v>
      </c>
      <c r="M10" s="2">
        <v>10738.02</v>
      </c>
      <c r="N10" s="2" t="str">
        <f t="shared" si="1"/>
        <v>Medium Risk</v>
      </c>
      <c r="O10" s="2" t="b">
        <f>AND(OR($D10=T1_Region,T1_Region="All Regions"),OR($E10=T1_Income,T1_Income="All Income Groups"))</f>
        <v>1</v>
      </c>
    </row>
    <row r="11" ht="15.0" customHeight="1">
      <c r="A11" s="2" t="s">
        <v>5</v>
      </c>
      <c r="B11" s="2" t="s">
        <v>10</v>
      </c>
      <c r="C11" s="2">
        <v>2022.0</v>
      </c>
      <c r="D11" s="2" t="s">
        <v>11</v>
      </c>
      <c r="E11" s="2" t="s">
        <v>13</v>
      </c>
      <c r="F11" s="2">
        <v>40.97</v>
      </c>
      <c r="G11" s="2">
        <v>51.95</v>
      </c>
      <c r="H11" s="2">
        <v>45.73</v>
      </c>
      <c r="I11" s="2">
        <v>66.88</v>
      </c>
      <c r="J11" s="2">
        <v>51.38</v>
      </c>
      <c r="K11" s="2">
        <v>48.62</v>
      </c>
      <c r="L11" s="2" t="s">
        <v>29</v>
      </c>
      <c r="M11" s="2">
        <v>13962.19</v>
      </c>
      <c r="N11" s="2" t="str">
        <f t="shared" si="1"/>
        <v>Medium Risk</v>
      </c>
      <c r="O11" s="2" t="b">
        <f>AND(OR($D11=T1_Region,T1_Region="All Regions"),OR($E11=T1_Income,T1_Income="All Income Groups"))</f>
        <v>1</v>
      </c>
    </row>
    <row r="12" ht="15.0" customHeight="1">
      <c r="A12" s="2" t="s">
        <v>5</v>
      </c>
      <c r="B12" s="2" t="s">
        <v>10</v>
      </c>
      <c r="C12" s="2">
        <v>2023.0</v>
      </c>
      <c r="D12" s="2" t="s">
        <v>11</v>
      </c>
      <c r="E12" s="2" t="s">
        <v>13</v>
      </c>
      <c r="F12" s="2">
        <v>40.69</v>
      </c>
      <c r="G12" s="2">
        <v>52.87</v>
      </c>
      <c r="H12" s="2">
        <v>46.87</v>
      </c>
      <c r="I12" s="2">
        <v>65.54</v>
      </c>
      <c r="J12" s="2">
        <v>51.49</v>
      </c>
      <c r="K12" s="2">
        <v>48.51</v>
      </c>
      <c r="L12" s="2" t="s">
        <v>29</v>
      </c>
      <c r="M12" s="2">
        <v>14261.85</v>
      </c>
      <c r="N12" s="2" t="str">
        <f t="shared" si="1"/>
        <v>Medium Risk</v>
      </c>
      <c r="O12" s="2" t="b">
        <f>AND(OR($D12=T1_Region,T1_Region="All Regions"),OR($E12=T1_Income,T1_Income="All Income Groups"))</f>
        <v>1</v>
      </c>
    </row>
    <row r="13" ht="15.0" customHeight="1">
      <c r="A13" s="2" t="s">
        <v>5</v>
      </c>
      <c r="B13" s="2" t="s">
        <v>10</v>
      </c>
      <c r="C13" s="2">
        <v>2024.0</v>
      </c>
      <c r="D13" s="2" t="s">
        <v>11</v>
      </c>
      <c r="E13" s="2" t="s">
        <v>13</v>
      </c>
      <c r="F13" s="2">
        <v>41.26</v>
      </c>
      <c r="G13" s="2">
        <v>52.64</v>
      </c>
      <c r="H13" s="2">
        <v>51.16</v>
      </c>
      <c r="I13" s="2">
        <v>62.99</v>
      </c>
      <c r="J13" s="2">
        <v>52.01</v>
      </c>
      <c r="K13" s="2">
        <v>47.99</v>
      </c>
      <c r="L13" s="2" t="s">
        <v>29</v>
      </c>
      <c r="M13" s="2">
        <v>13969.78</v>
      </c>
      <c r="N13" s="2" t="str">
        <f t="shared" si="1"/>
        <v>Medium Risk</v>
      </c>
      <c r="O13" s="2" t="b">
        <f>AND(OR($D13=T1_Region,T1_Region="All Regions"),OR($E13=T1_Income,T1_Income="All Income Groups"))</f>
        <v>1</v>
      </c>
    </row>
    <row r="14" ht="15.0" customHeight="1">
      <c r="A14" s="2" t="s">
        <v>16</v>
      </c>
      <c r="B14" s="2" t="s">
        <v>17</v>
      </c>
      <c r="C14" s="2">
        <v>2013.0</v>
      </c>
      <c r="D14" s="2" t="s">
        <v>19</v>
      </c>
      <c r="E14" s="2" t="s">
        <v>20</v>
      </c>
      <c r="F14" s="2">
        <v>82.87</v>
      </c>
      <c r="G14" s="2">
        <v>85.12</v>
      </c>
      <c r="H14" s="2">
        <v>84.52</v>
      </c>
      <c r="I14" s="2">
        <v>82.23</v>
      </c>
      <c r="J14" s="2">
        <v>83.69</v>
      </c>
      <c r="K14" s="2">
        <v>16.31</v>
      </c>
      <c r="L14" s="2" t="s">
        <v>97</v>
      </c>
      <c r="M14" s="2">
        <v>68476.68</v>
      </c>
      <c r="N14" s="2" t="str">
        <f t="shared" si="1"/>
        <v>Low Risk</v>
      </c>
      <c r="O14" s="2" t="b">
        <f>AND(OR($D14=T1_Region,T1_Region="All Regions"),OR($E14=T1_Income,T1_Income="All Income Groups"))</f>
        <v>1</v>
      </c>
    </row>
    <row r="15" ht="15.0" customHeight="1">
      <c r="A15" s="2" t="s">
        <v>16</v>
      </c>
      <c r="B15" s="2" t="s">
        <v>17</v>
      </c>
      <c r="C15" s="2">
        <v>2014.0</v>
      </c>
      <c r="D15" s="2" t="s">
        <v>19</v>
      </c>
      <c r="E15" s="2" t="s">
        <v>20</v>
      </c>
      <c r="F15" s="2">
        <v>85.57</v>
      </c>
      <c r="G15" s="2">
        <v>86.78</v>
      </c>
      <c r="H15" s="2">
        <v>82.41</v>
      </c>
      <c r="I15" s="2">
        <v>83.31</v>
      </c>
      <c r="J15" s="2">
        <v>84.52</v>
      </c>
      <c r="K15" s="2">
        <v>15.48</v>
      </c>
      <c r="L15" s="2" t="s">
        <v>97</v>
      </c>
      <c r="M15" s="2">
        <v>62817.21</v>
      </c>
      <c r="N15" s="2" t="str">
        <f t="shared" si="1"/>
        <v>Low Risk</v>
      </c>
      <c r="O15" s="2" t="b">
        <f>AND(OR($D15=T1_Region,T1_Region="All Regions"),OR($E15=T1_Income,T1_Income="All Income Groups"))</f>
        <v>1</v>
      </c>
    </row>
    <row r="16" ht="15.0" customHeight="1">
      <c r="A16" s="2" t="s">
        <v>16</v>
      </c>
      <c r="B16" s="2" t="s">
        <v>17</v>
      </c>
      <c r="C16" s="2">
        <v>2015.0</v>
      </c>
      <c r="D16" s="2" t="s">
        <v>19</v>
      </c>
      <c r="E16" s="2" t="s">
        <v>20</v>
      </c>
      <c r="F16" s="2">
        <v>85.39</v>
      </c>
      <c r="G16" s="2">
        <v>86.53</v>
      </c>
      <c r="H16" s="2">
        <v>82.3</v>
      </c>
      <c r="I16" s="2">
        <v>79.62</v>
      </c>
      <c r="J16" s="2">
        <v>83.46</v>
      </c>
      <c r="K16" s="2">
        <v>16.54</v>
      </c>
      <c r="L16" s="2" t="s">
        <v>97</v>
      </c>
      <c r="M16" s="2">
        <v>56970.36</v>
      </c>
      <c r="N16" s="2" t="str">
        <f t="shared" si="1"/>
        <v>Low Risk</v>
      </c>
      <c r="O16" s="2" t="b">
        <f>AND(OR($D16=T1_Region,T1_Region="All Regions"),OR($E16=T1_Income,T1_Income="All Income Groups"))</f>
        <v>1</v>
      </c>
    </row>
    <row r="17" ht="15.0" customHeight="1">
      <c r="A17" s="2" t="s">
        <v>16</v>
      </c>
      <c r="B17" s="2" t="s">
        <v>17</v>
      </c>
      <c r="C17" s="2">
        <v>2016.0</v>
      </c>
      <c r="D17" s="2" t="s">
        <v>19</v>
      </c>
      <c r="E17" s="2" t="s">
        <v>20</v>
      </c>
      <c r="F17" s="2">
        <v>84.18</v>
      </c>
      <c r="G17" s="2">
        <v>86.72</v>
      </c>
      <c r="H17" s="2">
        <v>83.47</v>
      </c>
      <c r="I17" s="2">
        <v>82.19</v>
      </c>
      <c r="J17" s="2">
        <v>84.14</v>
      </c>
      <c r="K17" s="2">
        <v>15.86</v>
      </c>
      <c r="L17" s="2" t="s">
        <v>97</v>
      </c>
      <c r="M17" s="2">
        <v>50084.44</v>
      </c>
      <c r="N17" s="2" t="str">
        <f t="shared" si="1"/>
        <v>Low Risk</v>
      </c>
      <c r="O17" s="2" t="b">
        <f>AND(OR($D17=T1_Region,T1_Region="All Regions"),OR($E17=T1_Income,T1_Income="All Income Groups"))</f>
        <v>1</v>
      </c>
    </row>
    <row r="18" ht="15.0" customHeight="1">
      <c r="A18" s="2" t="s">
        <v>16</v>
      </c>
      <c r="B18" s="2" t="s">
        <v>17</v>
      </c>
      <c r="C18" s="2">
        <v>2017.0</v>
      </c>
      <c r="D18" s="2" t="s">
        <v>19</v>
      </c>
      <c r="E18" s="2" t="s">
        <v>20</v>
      </c>
      <c r="F18" s="2">
        <v>84.17</v>
      </c>
      <c r="G18" s="2">
        <v>84.91</v>
      </c>
      <c r="H18" s="2">
        <v>83.66</v>
      </c>
      <c r="I18" s="2">
        <v>79.27</v>
      </c>
      <c r="J18" s="2">
        <v>83.0</v>
      </c>
      <c r="K18" s="2">
        <v>17.0</v>
      </c>
      <c r="L18" s="2" t="s">
        <v>97</v>
      </c>
      <c r="M18" s="2">
        <v>54117.55</v>
      </c>
      <c r="N18" s="2" t="str">
        <f t="shared" si="1"/>
        <v>Low Risk</v>
      </c>
      <c r="O18" s="2" t="b">
        <f>AND(OR($D18=T1_Region,T1_Region="All Regions"),OR($E18=T1_Income,T1_Income="All Income Groups"))</f>
        <v>1</v>
      </c>
    </row>
    <row r="19" ht="15.0" customHeight="1">
      <c r="A19" s="2" t="s">
        <v>16</v>
      </c>
      <c r="B19" s="2" t="s">
        <v>17</v>
      </c>
      <c r="C19" s="2">
        <v>2018.0</v>
      </c>
      <c r="D19" s="2" t="s">
        <v>19</v>
      </c>
      <c r="E19" s="2" t="s">
        <v>20</v>
      </c>
      <c r="F19" s="2">
        <v>83.65</v>
      </c>
      <c r="G19" s="2">
        <v>85.12</v>
      </c>
      <c r="H19" s="2">
        <v>83.7</v>
      </c>
      <c r="I19" s="2">
        <v>81.0</v>
      </c>
      <c r="J19" s="2">
        <v>83.37</v>
      </c>
      <c r="K19" s="2">
        <v>16.63</v>
      </c>
      <c r="L19" s="2" t="s">
        <v>97</v>
      </c>
      <c r="M19" s="2">
        <v>57410.17</v>
      </c>
      <c r="N19" s="2" t="str">
        <f t="shared" si="1"/>
        <v>Low Risk</v>
      </c>
      <c r="O19" s="2" t="b">
        <f>AND(OR($D19=T1_Region,T1_Region="All Regions"),OR($E19=T1_Income,T1_Income="All Income Groups"))</f>
        <v>1</v>
      </c>
    </row>
    <row r="20" ht="15.0" customHeight="1">
      <c r="A20" s="2" t="s">
        <v>16</v>
      </c>
      <c r="B20" s="2" t="s">
        <v>17</v>
      </c>
      <c r="C20" s="2">
        <v>2019.0</v>
      </c>
      <c r="D20" s="2" t="s">
        <v>19</v>
      </c>
      <c r="E20" s="2" t="s">
        <v>20</v>
      </c>
      <c r="F20" s="2">
        <v>84.02</v>
      </c>
      <c r="G20" s="2">
        <v>85.09</v>
      </c>
      <c r="H20" s="2">
        <v>83.99</v>
      </c>
      <c r="I20" s="2">
        <v>80.34</v>
      </c>
      <c r="J20" s="2">
        <v>83.36</v>
      </c>
      <c r="K20" s="2">
        <v>16.64</v>
      </c>
      <c r="L20" s="2" t="s">
        <v>97</v>
      </c>
      <c r="M20" s="2">
        <v>55194.76</v>
      </c>
      <c r="N20" s="2" t="str">
        <f t="shared" si="1"/>
        <v>Low Risk</v>
      </c>
      <c r="O20" s="2" t="b">
        <f>AND(OR($D20=T1_Region,T1_Region="All Regions"),OR($E20=T1_Income,T1_Income="All Income Groups"))</f>
        <v>1</v>
      </c>
    </row>
    <row r="21" ht="15.0" customHeight="1">
      <c r="A21" s="2" t="s">
        <v>16</v>
      </c>
      <c r="B21" s="2" t="s">
        <v>17</v>
      </c>
      <c r="C21" s="2">
        <v>2020.0</v>
      </c>
      <c r="D21" s="2" t="s">
        <v>19</v>
      </c>
      <c r="E21" s="2" t="s">
        <v>20</v>
      </c>
      <c r="F21" s="2">
        <v>80.32</v>
      </c>
      <c r="G21" s="2">
        <v>83.68</v>
      </c>
      <c r="H21" s="2">
        <v>82.75</v>
      </c>
      <c r="I21" s="2">
        <v>81.03</v>
      </c>
      <c r="J21" s="2">
        <v>81.94</v>
      </c>
      <c r="K21" s="2">
        <v>18.06</v>
      </c>
      <c r="L21" s="2" t="s">
        <v>97</v>
      </c>
      <c r="M21" s="2">
        <v>51983.45</v>
      </c>
      <c r="N21" s="2" t="str">
        <f t="shared" si="1"/>
        <v>Low Risk</v>
      </c>
      <c r="O21" s="2" t="b">
        <f>AND(OR($D21=T1_Region,T1_Region="All Regions"),OR($E21=T1_Income,T1_Income="All Income Groups"))</f>
        <v>1</v>
      </c>
    </row>
    <row r="22" ht="15.0" customHeight="1">
      <c r="A22" s="2" t="s">
        <v>16</v>
      </c>
      <c r="B22" s="2" t="s">
        <v>17</v>
      </c>
      <c r="C22" s="2">
        <v>2021.0</v>
      </c>
      <c r="D22" s="2" t="s">
        <v>19</v>
      </c>
      <c r="E22" s="2" t="s">
        <v>20</v>
      </c>
      <c r="F22" s="2">
        <v>81.8</v>
      </c>
      <c r="G22" s="2">
        <v>83.99</v>
      </c>
      <c r="H22" s="2">
        <v>83.03</v>
      </c>
      <c r="I22" s="2">
        <v>80.48</v>
      </c>
      <c r="J22" s="2">
        <v>82.32</v>
      </c>
      <c r="K22" s="2">
        <v>17.68</v>
      </c>
      <c r="L22" s="2" t="s">
        <v>97</v>
      </c>
      <c r="M22" s="2">
        <v>60758.9</v>
      </c>
      <c r="N22" s="2" t="str">
        <f t="shared" si="1"/>
        <v>Low Risk</v>
      </c>
      <c r="O22" s="2" t="b">
        <f>AND(OR($D22=T1_Region,T1_Region="All Regions"),OR($E22=T1_Income,T1_Income="All Income Groups"))</f>
        <v>1</v>
      </c>
    </row>
    <row r="23" ht="15.0" customHeight="1">
      <c r="A23" s="2" t="s">
        <v>16</v>
      </c>
      <c r="B23" s="2" t="s">
        <v>17</v>
      </c>
      <c r="C23" s="2">
        <v>2022.0</v>
      </c>
      <c r="D23" s="2" t="s">
        <v>19</v>
      </c>
      <c r="E23" s="2" t="s">
        <v>20</v>
      </c>
      <c r="F23" s="2">
        <v>82.85</v>
      </c>
      <c r="G23" s="2">
        <v>82.3</v>
      </c>
      <c r="H23" s="2">
        <v>83.26</v>
      </c>
      <c r="I23" s="2">
        <v>81.29</v>
      </c>
      <c r="J23" s="2">
        <v>82.42</v>
      </c>
      <c r="K23" s="2">
        <v>17.58</v>
      </c>
      <c r="L23" s="2" t="s">
        <v>97</v>
      </c>
      <c r="M23" s="2">
        <v>65169.52</v>
      </c>
      <c r="N23" s="2" t="str">
        <f t="shared" si="1"/>
        <v>Low Risk</v>
      </c>
      <c r="O23" s="2" t="b">
        <f>AND(OR($D23=T1_Region,T1_Region="All Regions"),OR($E23=T1_Income,T1_Income="All Income Groups"))</f>
        <v>1</v>
      </c>
    </row>
    <row r="24" ht="15.0" customHeight="1">
      <c r="A24" s="2" t="s">
        <v>16</v>
      </c>
      <c r="B24" s="2" t="s">
        <v>17</v>
      </c>
      <c r="C24" s="2">
        <v>2023.0</v>
      </c>
      <c r="D24" s="2" t="s">
        <v>19</v>
      </c>
      <c r="E24" s="2" t="s">
        <v>20</v>
      </c>
      <c r="F24" s="2">
        <v>84.41</v>
      </c>
      <c r="G24" s="2">
        <v>82.84</v>
      </c>
      <c r="H24" s="2">
        <v>83.46</v>
      </c>
      <c r="I24" s="2">
        <v>81.7</v>
      </c>
      <c r="J24" s="2">
        <v>83.1</v>
      </c>
      <c r="K24" s="2">
        <v>16.9</v>
      </c>
      <c r="L24" s="2" t="s">
        <v>97</v>
      </c>
      <c r="M24" s="2">
        <v>65058.38</v>
      </c>
      <c r="N24" s="2" t="str">
        <f t="shared" si="1"/>
        <v>Low Risk</v>
      </c>
      <c r="O24" s="2" t="b">
        <f>AND(OR($D24=T1_Region,T1_Region="All Regions"),OR($E24=T1_Income,T1_Income="All Income Groups"))</f>
        <v>1</v>
      </c>
    </row>
    <row r="25" ht="15.0" customHeight="1">
      <c r="A25" s="2" t="s">
        <v>16</v>
      </c>
      <c r="B25" s="2" t="s">
        <v>17</v>
      </c>
      <c r="C25" s="2">
        <v>2024.0</v>
      </c>
      <c r="D25" s="2" t="s">
        <v>19</v>
      </c>
      <c r="E25" s="2" t="s">
        <v>20</v>
      </c>
      <c r="F25" s="2">
        <v>85.34</v>
      </c>
      <c r="G25" s="2">
        <v>82.27</v>
      </c>
      <c r="H25" s="2">
        <v>82.03</v>
      </c>
      <c r="I25" s="2">
        <v>79.44</v>
      </c>
      <c r="J25" s="2">
        <v>82.27</v>
      </c>
      <c r="K25" s="2">
        <v>17.73</v>
      </c>
      <c r="L25" s="2" t="s">
        <v>97</v>
      </c>
      <c r="M25" s="2">
        <v>64609.99</v>
      </c>
      <c r="N25" s="2" t="str">
        <f t="shared" si="1"/>
        <v>Low Risk</v>
      </c>
      <c r="O25" s="2" t="b">
        <f>AND(OR($D25=T1_Region,T1_Region="All Regions"),OR($E25=T1_Income,T1_Income="All Income Groups"))</f>
        <v>1</v>
      </c>
    </row>
    <row r="26" ht="15.0" customHeight="1">
      <c r="A26" s="2" t="s">
        <v>23</v>
      </c>
      <c r="B26" s="2" t="s">
        <v>24</v>
      </c>
      <c r="C26" s="2">
        <v>2013.0</v>
      </c>
      <c r="D26" s="2" t="s">
        <v>25</v>
      </c>
      <c r="E26" s="2" t="s">
        <v>26</v>
      </c>
      <c r="F26" s="2">
        <v>24.93</v>
      </c>
      <c r="G26" s="2">
        <v>40.19</v>
      </c>
      <c r="H26" s="2">
        <v>39.89</v>
      </c>
      <c r="I26" s="2">
        <v>35.63</v>
      </c>
      <c r="J26" s="2">
        <v>35.16</v>
      </c>
      <c r="K26" s="2">
        <v>64.84</v>
      </c>
      <c r="L26" s="2" t="s">
        <v>29</v>
      </c>
      <c r="M26" s="2">
        <v>958.26</v>
      </c>
      <c r="N26" s="2" t="str">
        <f t="shared" si="1"/>
        <v>Medium Risk</v>
      </c>
      <c r="O26" s="2" t="b">
        <f>AND(OR($D26=T1_Region,T1_Region="All Regions"),OR($E26=T1_Income,T1_Income="All Income Groups"))</f>
        <v>1</v>
      </c>
    </row>
    <row r="27" ht="15.0" customHeight="1">
      <c r="A27" s="2" t="s">
        <v>23</v>
      </c>
      <c r="B27" s="2" t="s">
        <v>24</v>
      </c>
      <c r="C27" s="2">
        <v>2014.0</v>
      </c>
      <c r="D27" s="2" t="s">
        <v>25</v>
      </c>
      <c r="E27" s="2" t="s">
        <v>26</v>
      </c>
      <c r="F27" s="2">
        <v>23.88</v>
      </c>
      <c r="G27" s="2">
        <v>42.3</v>
      </c>
      <c r="H27" s="2">
        <v>40.72</v>
      </c>
      <c r="I27" s="2">
        <v>47.94</v>
      </c>
      <c r="J27" s="2">
        <v>38.71</v>
      </c>
      <c r="K27" s="2">
        <v>61.29</v>
      </c>
      <c r="L27" s="2" t="s">
        <v>29</v>
      </c>
      <c r="M27" s="2">
        <v>1094.46</v>
      </c>
      <c r="N27" s="2" t="str">
        <f t="shared" si="1"/>
        <v>Medium Risk</v>
      </c>
      <c r="O27" s="2" t="b">
        <f>AND(OR($D27=T1_Region,T1_Region="All Regions"),OR($E27=T1_Income,T1_Income="All Income Groups"))</f>
        <v>1</v>
      </c>
    </row>
    <row r="28" ht="15.0" customHeight="1">
      <c r="A28" s="2" t="s">
        <v>23</v>
      </c>
      <c r="B28" s="2" t="s">
        <v>24</v>
      </c>
      <c r="C28" s="2">
        <v>2015.0</v>
      </c>
      <c r="D28" s="2" t="s">
        <v>25</v>
      </c>
      <c r="E28" s="2" t="s">
        <v>26</v>
      </c>
      <c r="F28" s="2">
        <v>26.0</v>
      </c>
      <c r="G28" s="2">
        <v>42.22</v>
      </c>
      <c r="H28" s="2">
        <v>42.61</v>
      </c>
      <c r="I28" s="2">
        <v>43.15</v>
      </c>
      <c r="J28" s="2">
        <v>38.49</v>
      </c>
      <c r="K28" s="2">
        <v>61.51</v>
      </c>
      <c r="L28" s="2" t="s">
        <v>29</v>
      </c>
      <c r="M28" s="2">
        <v>1224.39</v>
      </c>
      <c r="N28" s="2" t="str">
        <f t="shared" si="1"/>
        <v>Medium Risk</v>
      </c>
      <c r="O28" s="2" t="b">
        <f>AND(OR($D28=T1_Region,T1_Region="All Regions"),OR($E28=T1_Income,T1_Income="All Income Groups"))</f>
        <v>1</v>
      </c>
    </row>
    <row r="29" ht="15.0" customHeight="1">
      <c r="A29" s="2" t="s">
        <v>23</v>
      </c>
      <c r="B29" s="2" t="s">
        <v>24</v>
      </c>
      <c r="C29" s="2">
        <v>2016.0</v>
      </c>
      <c r="D29" s="2" t="s">
        <v>25</v>
      </c>
      <c r="E29" s="2" t="s">
        <v>26</v>
      </c>
      <c r="F29" s="2">
        <v>26.26</v>
      </c>
      <c r="G29" s="2">
        <v>41.36</v>
      </c>
      <c r="H29" s="2">
        <v>42.89</v>
      </c>
      <c r="I29" s="2">
        <v>42.98</v>
      </c>
      <c r="J29" s="2">
        <v>38.37</v>
      </c>
      <c r="K29" s="2">
        <v>61.63</v>
      </c>
      <c r="L29" s="2" t="s">
        <v>29</v>
      </c>
      <c r="M29" s="2">
        <v>1649.28</v>
      </c>
      <c r="N29" s="2" t="str">
        <f t="shared" si="1"/>
        <v>Medium Risk</v>
      </c>
      <c r="O29" s="2" t="b">
        <f>AND(OR($D29=T1_Region,T1_Region="All Regions"),OR($E29=T1_Income,T1_Income="All Income Groups"))</f>
        <v>1</v>
      </c>
    </row>
    <row r="30" ht="15.0" customHeight="1">
      <c r="A30" s="2" t="s">
        <v>23</v>
      </c>
      <c r="B30" s="2" t="s">
        <v>24</v>
      </c>
      <c r="C30" s="2">
        <v>2017.0</v>
      </c>
      <c r="D30" s="2" t="s">
        <v>25</v>
      </c>
      <c r="E30" s="2" t="s">
        <v>26</v>
      </c>
      <c r="F30" s="2">
        <v>26.35</v>
      </c>
      <c r="G30" s="2">
        <v>41.06</v>
      </c>
      <c r="H30" s="2">
        <v>43.14</v>
      </c>
      <c r="I30" s="2">
        <v>43.19</v>
      </c>
      <c r="J30" s="2">
        <v>38.44</v>
      </c>
      <c r="K30" s="2">
        <v>61.56</v>
      </c>
      <c r="L30" s="2" t="s">
        <v>29</v>
      </c>
      <c r="M30" s="2">
        <v>1811.08</v>
      </c>
      <c r="N30" s="2" t="str">
        <f t="shared" si="1"/>
        <v>Medium Risk</v>
      </c>
      <c r="O30" s="2" t="b">
        <f>AND(OR($D30=T1_Region,T1_Region="All Regions"),OR($E30=T1_Income,T1_Income="All Income Groups"))</f>
        <v>1</v>
      </c>
    </row>
    <row r="31" ht="15.0" customHeight="1">
      <c r="A31" s="2" t="s">
        <v>23</v>
      </c>
      <c r="B31" s="2" t="s">
        <v>24</v>
      </c>
      <c r="C31" s="2">
        <v>2018.0</v>
      </c>
      <c r="D31" s="2" t="s">
        <v>25</v>
      </c>
      <c r="E31" s="2" t="s">
        <v>26</v>
      </c>
      <c r="F31" s="2">
        <v>25.66</v>
      </c>
      <c r="G31" s="2">
        <v>41.31</v>
      </c>
      <c r="H31" s="2">
        <v>42.47</v>
      </c>
      <c r="I31" s="2">
        <v>48.38</v>
      </c>
      <c r="J31" s="2">
        <v>39.46</v>
      </c>
      <c r="K31" s="2">
        <v>60.54</v>
      </c>
      <c r="L31" s="2" t="s">
        <v>29</v>
      </c>
      <c r="M31" s="2">
        <v>1965.24</v>
      </c>
      <c r="N31" s="2" t="str">
        <f t="shared" si="1"/>
        <v>Medium Risk</v>
      </c>
      <c r="O31" s="2" t="b">
        <f>AND(OR($D31=T1_Region,T1_Region="All Regions"),OR($E31=T1_Income,T1_Income="All Income Groups"))</f>
        <v>1</v>
      </c>
    </row>
    <row r="32" ht="15.0" customHeight="1">
      <c r="A32" s="2" t="s">
        <v>23</v>
      </c>
      <c r="B32" s="2" t="s">
        <v>24</v>
      </c>
      <c r="C32" s="2">
        <v>2019.0</v>
      </c>
      <c r="D32" s="2" t="s">
        <v>25</v>
      </c>
      <c r="E32" s="2" t="s">
        <v>26</v>
      </c>
      <c r="F32" s="2">
        <v>25.58</v>
      </c>
      <c r="G32" s="2">
        <v>40.75</v>
      </c>
      <c r="H32" s="2">
        <v>40.83</v>
      </c>
      <c r="I32" s="2">
        <v>48.87</v>
      </c>
      <c r="J32" s="2">
        <v>39.01</v>
      </c>
      <c r="K32" s="2">
        <v>60.99</v>
      </c>
      <c r="L32" s="2" t="s">
        <v>29</v>
      </c>
      <c r="M32" s="2">
        <v>2129.8</v>
      </c>
      <c r="N32" s="2" t="str">
        <f t="shared" si="1"/>
        <v>Medium Risk</v>
      </c>
      <c r="O32" s="2" t="b">
        <f>AND(OR($D32=T1_Region,T1_Region="All Regions"),OR($E32=T1_Income,T1_Income="All Income Groups"))</f>
        <v>1</v>
      </c>
    </row>
    <row r="33" ht="15.0" customHeight="1">
      <c r="A33" s="2" t="s">
        <v>23</v>
      </c>
      <c r="B33" s="2" t="s">
        <v>24</v>
      </c>
      <c r="C33" s="2">
        <v>2020.0</v>
      </c>
      <c r="D33" s="2" t="s">
        <v>25</v>
      </c>
      <c r="E33" s="2" t="s">
        <v>26</v>
      </c>
      <c r="F33" s="2">
        <v>26.07</v>
      </c>
      <c r="G33" s="2">
        <v>41.53</v>
      </c>
      <c r="H33" s="2">
        <v>40.76</v>
      </c>
      <c r="I33" s="2">
        <v>48.55</v>
      </c>
      <c r="J33" s="2">
        <v>39.23</v>
      </c>
      <c r="K33" s="2">
        <v>60.77</v>
      </c>
      <c r="L33" s="2" t="s">
        <v>29</v>
      </c>
      <c r="M33" s="2">
        <v>2248.85</v>
      </c>
      <c r="N33" s="2" t="str">
        <f t="shared" si="1"/>
        <v>Medium Risk</v>
      </c>
      <c r="O33" s="2" t="b">
        <f>AND(OR($D33=T1_Region,T1_Region="All Regions"),OR($E33=T1_Income,T1_Income="All Income Groups"))</f>
        <v>1</v>
      </c>
    </row>
    <row r="34" ht="15.0" customHeight="1">
      <c r="A34" s="2" t="s">
        <v>23</v>
      </c>
      <c r="B34" s="2" t="s">
        <v>24</v>
      </c>
      <c r="C34" s="2">
        <v>2021.0</v>
      </c>
      <c r="D34" s="2" t="s">
        <v>25</v>
      </c>
      <c r="E34" s="2" t="s">
        <v>26</v>
      </c>
      <c r="F34" s="2">
        <v>25.73</v>
      </c>
      <c r="G34" s="2">
        <v>40.19</v>
      </c>
      <c r="H34" s="2">
        <v>41.12</v>
      </c>
      <c r="I34" s="2">
        <v>47.9</v>
      </c>
      <c r="J34" s="2">
        <v>38.73</v>
      </c>
      <c r="K34" s="2">
        <v>61.27</v>
      </c>
      <c r="L34" s="2" t="s">
        <v>29</v>
      </c>
      <c r="M34" s="2">
        <v>2482.85</v>
      </c>
      <c r="N34" s="2" t="str">
        <f t="shared" si="1"/>
        <v>Medium Risk</v>
      </c>
      <c r="O34" s="2" t="b">
        <f>AND(OR($D34=T1_Region,T1_Region="All Regions"),OR($E34=T1_Income,T1_Income="All Income Groups"))</f>
        <v>1</v>
      </c>
    </row>
    <row r="35" ht="15.0" customHeight="1">
      <c r="A35" s="2" t="s">
        <v>23</v>
      </c>
      <c r="B35" s="2" t="s">
        <v>24</v>
      </c>
      <c r="C35" s="2">
        <v>2022.0</v>
      </c>
      <c r="D35" s="2" t="s">
        <v>25</v>
      </c>
      <c r="E35" s="2" t="s">
        <v>26</v>
      </c>
      <c r="F35" s="2">
        <v>24.0</v>
      </c>
      <c r="G35" s="2">
        <v>40.21</v>
      </c>
      <c r="H35" s="2">
        <v>40.29</v>
      </c>
      <c r="I35" s="2">
        <v>47.18</v>
      </c>
      <c r="J35" s="2">
        <v>37.92</v>
      </c>
      <c r="K35" s="2">
        <v>62.08</v>
      </c>
      <c r="L35" s="2" t="s">
        <v>29</v>
      </c>
      <c r="M35" s="2">
        <v>2716.49</v>
      </c>
      <c r="N35" s="2" t="str">
        <f t="shared" si="1"/>
        <v>Medium Risk</v>
      </c>
      <c r="O35" s="2" t="b">
        <f>AND(OR($D35=T1_Region,T1_Region="All Regions"),OR($E35=T1_Income,T1_Income="All Income Groups"))</f>
        <v>1</v>
      </c>
    </row>
    <row r="36" ht="15.0" customHeight="1">
      <c r="A36" s="2" t="s">
        <v>23</v>
      </c>
      <c r="B36" s="2" t="s">
        <v>24</v>
      </c>
      <c r="C36" s="2">
        <v>2023.0</v>
      </c>
      <c r="D36" s="2" t="s">
        <v>25</v>
      </c>
      <c r="E36" s="2" t="s">
        <v>26</v>
      </c>
      <c r="F36" s="2">
        <v>23.59</v>
      </c>
      <c r="G36" s="2">
        <v>41.44</v>
      </c>
      <c r="H36" s="2">
        <v>40.65</v>
      </c>
      <c r="I36" s="2">
        <v>48.2</v>
      </c>
      <c r="J36" s="2">
        <v>38.47</v>
      </c>
      <c r="K36" s="2">
        <v>61.53</v>
      </c>
      <c r="L36" s="2" t="s">
        <v>29</v>
      </c>
      <c r="M36" s="2">
        <v>2551.02</v>
      </c>
      <c r="N36" s="2" t="str">
        <f t="shared" si="1"/>
        <v>Medium Risk</v>
      </c>
      <c r="O36" s="2" t="b">
        <f>AND(OR($D36=T1_Region,T1_Region="All Regions"),OR($E36=T1_Income,T1_Income="All Income Groups"))</f>
        <v>1</v>
      </c>
    </row>
    <row r="37" ht="15.0" customHeight="1">
      <c r="A37" s="2" t="s">
        <v>23</v>
      </c>
      <c r="B37" s="2" t="s">
        <v>24</v>
      </c>
      <c r="C37" s="2">
        <v>2024.0</v>
      </c>
      <c r="D37" s="2" t="s">
        <v>25</v>
      </c>
      <c r="E37" s="2" t="s">
        <v>26</v>
      </c>
      <c r="F37" s="2">
        <v>25.55</v>
      </c>
      <c r="G37" s="2">
        <v>40.44</v>
      </c>
      <c r="H37" s="2">
        <v>39.88</v>
      </c>
      <c r="I37" s="2">
        <v>40.9</v>
      </c>
      <c r="J37" s="2">
        <v>36.69</v>
      </c>
      <c r="K37" s="2">
        <v>63.31</v>
      </c>
      <c r="L37" s="2" t="s">
        <v>29</v>
      </c>
      <c r="M37" s="2">
        <v>2593.42</v>
      </c>
      <c r="N37" s="2" t="str">
        <f t="shared" si="1"/>
        <v>Medium Risk</v>
      </c>
      <c r="O37" s="2" t="b">
        <f>AND(OR($D37=T1_Region,T1_Region="All Regions"),OR($E37=T1_Income,T1_Income="All Income Groups"))</f>
        <v>1</v>
      </c>
    </row>
    <row r="38" ht="15.0" customHeight="1">
      <c r="A38" s="2" t="s">
        <v>27</v>
      </c>
      <c r="B38" s="2" t="s">
        <v>28</v>
      </c>
      <c r="C38" s="2">
        <v>2013.0</v>
      </c>
      <c r="D38" s="2" t="s">
        <v>11</v>
      </c>
      <c r="E38" s="2" t="s">
        <v>13</v>
      </c>
      <c r="F38" s="2">
        <v>46.62</v>
      </c>
      <c r="G38" s="2">
        <v>54.65</v>
      </c>
      <c r="H38" s="2">
        <v>56.91</v>
      </c>
      <c r="I38" s="2">
        <v>59.65</v>
      </c>
      <c r="J38" s="2">
        <v>54.46</v>
      </c>
      <c r="K38" s="2">
        <v>45.54</v>
      </c>
      <c r="L38" s="2" t="s">
        <v>29</v>
      </c>
      <c r="M38" s="2">
        <v>12458.89</v>
      </c>
      <c r="N38" s="2" t="str">
        <f t="shared" si="1"/>
        <v>Medium Risk</v>
      </c>
      <c r="O38" s="2" t="b">
        <f>AND(OR($D38=T1_Region,T1_Region="All Regions"),OR($E38=T1_Income,T1_Income="All Income Groups"))</f>
        <v>1</v>
      </c>
    </row>
    <row r="39" ht="15.0" customHeight="1">
      <c r="A39" s="2" t="s">
        <v>27</v>
      </c>
      <c r="B39" s="2" t="s">
        <v>28</v>
      </c>
      <c r="C39" s="2">
        <v>2014.0</v>
      </c>
      <c r="D39" s="2" t="s">
        <v>11</v>
      </c>
      <c r="E39" s="2" t="s">
        <v>13</v>
      </c>
      <c r="F39" s="2">
        <v>43.09</v>
      </c>
      <c r="G39" s="2">
        <v>54.52</v>
      </c>
      <c r="H39" s="2">
        <v>54.29</v>
      </c>
      <c r="I39" s="2">
        <v>61.77</v>
      </c>
      <c r="J39" s="2">
        <v>53.42</v>
      </c>
      <c r="K39" s="2">
        <v>46.58</v>
      </c>
      <c r="L39" s="2" t="s">
        <v>29</v>
      </c>
      <c r="M39" s="2">
        <v>12274.99</v>
      </c>
      <c r="N39" s="2" t="str">
        <f t="shared" si="1"/>
        <v>Medium Risk</v>
      </c>
      <c r="O39" s="2" t="b">
        <f>AND(OR($D39=T1_Region,T1_Region="All Regions"),OR($E39=T1_Income,T1_Income="All Income Groups"))</f>
        <v>1</v>
      </c>
    </row>
    <row r="40" ht="15.0" customHeight="1">
      <c r="A40" s="2" t="s">
        <v>27</v>
      </c>
      <c r="B40" s="2" t="s">
        <v>28</v>
      </c>
      <c r="C40" s="2">
        <v>2015.0</v>
      </c>
      <c r="D40" s="2" t="s">
        <v>11</v>
      </c>
      <c r="E40" s="2" t="s">
        <v>13</v>
      </c>
      <c r="F40" s="2">
        <v>40.74</v>
      </c>
      <c r="G40" s="2">
        <v>53.09</v>
      </c>
      <c r="H40" s="2">
        <v>53.34</v>
      </c>
      <c r="I40" s="2">
        <v>57.42</v>
      </c>
      <c r="J40" s="2">
        <v>51.15</v>
      </c>
      <c r="K40" s="2">
        <v>48.85</v>
      </c>
      <c r="L40" s="2" t="s">
        <v>29</v>
      </c>
      <c r="M40" s="2">
        <v>8936.2</v>
      </c>
      <c r="N40" s="2" t="str">
        <f t="shared" si="1"/>
        <v>Medium Risk</v>
      </c>
      <c r="O40" s="2" t="b">
        <f>AND(OR($D40=T1_Region,T1_Region="All Regions"),OR($E40=T1_Income,T1_Income="All Income Groups"))</f>
        <v>1</v>
      </c>
    </row>
    <row r="41" ht="15.0" customHeight="1">
      <c r="A41" s="2" t="s">
        <v>27</v>
      </c>
      <c r="B41" s="2" t="s">
        <v>28</v>
      </c>
      <c r="C41" s="2">
        <v>2016.0</v>
      </c>
      <c r="D41" s="2" t="s">
        <v>11</v>
      </c>
      <c r="E41" s="2" t="s">
        <v>13</v>
      </c>
      <c r="F41" s="2">
        <v>40.43</v>
      </c>
      <c r="G41" s="2">
        <v>54.41</v>
      </c>
      <c r="H41" s="2">
        <v>53.35</v>
      </c>
      <c r="I41" s="2">
        <v>56.9</v>
      </c>
      <c r="J41" s="2">
        <v>51.27</v>
      </c>
      <c r="K41" s="2">
        <v>48.73</v>
      </c>
      <c r="L41" s="2" t="s">
        <v>29</v>
      </c>
      <c r="M41" s="2">
        <v>8836.29</v>
      </c>
      <c r="N41" s="2" t="str">
        <f t="shared" si="1"/>
        <v>Medium Risk</v>
      </c>
      <c r="O41" s="2" t="b">
        <f>AND(OR($D41=T1_Region,T1_Region="All Regions"),OR($E41=T1_Income,T1_Income="All Income Groups"))</f>
        <v>1</v>
      </c>
    </row>
    <row r="42" ht="15.0" customHeight="1">
      <c r="A42" s="2" t="s">
        <v>27</v>
      </c>
      <c r="B42" s="2" t="s">
        <v>28</v>
      </c>
      <c r="C42" s="2">
        <v>2017.0</v>
      </c>
      <c r="D42" s="2" t="s">
        <v>11</v>
      </c>
      <c r="E42" s="2" t="s">
        <v>13</v>
      </c>
      <c r="F42" s="2">
        <v>38.35</v>
      </c>
      <c r="G42" s="2">
        <v>52.13</v>
      </c>
      <c r="H42" s="2">
        <v>53.19</v>
      </c>
      <c r="I42" s="2">
        <v>55.61</v>
      </c>
      <c r="J42" s="2">
        <v>49.82</v>
      </c>
      <c r="K42" s="2">
        <v>50.18</v>
      </c>
      <c r="L42" s="2" t="s">
        <v>29</v>
      </c>
      <c r="M42" s="2">
        <v>10080.51</v>
      </c>
      <c r="N42" s="2" t="str">
        <f t="shared" si="1"/>
        <v>Medium Risk</v>
      </c>
      <c r="O42" s="2" t="b">
        <f>AND(OR($D42=T1_Region,T1_Region="All Regions"),OR($E42=T1_Income,T1_Income="All Income Groups"))</f>
        <v>1</v>
      </c>
    </row>
    <row r="43" ht="15.0" customHeight="1">
      <c r="A43" s="2" t="s">
        <v>27</v>
      </c>
      <c r="B43" s="2" t="s">
        <v>28</v>
      </c>
      <c r="C43" s="2">
        <v>2018.0</v>
      </c>
      <c r="D43" s="2" t="s">
        <v>11</v>
      </c>
      <c r="E43" s="2" t="s">
        <v>13</v>
      </c>
      <c r="F43" s="2">
        <v>39.6</v>
      </c>
      <c r="G43" s="2">
        <v>50.05</v>
      </c>
      <c r="H43" s="2">
        <v>51.01</v>
      </c>
      <c r="I43" s="2">
        <v>54.87</v>
      </c>
      <c r="J43" s="2">
        <v>48.89</v>
      </c>
      <c r="K43" s="2">
        <v>51.11</v>
      </c>
      <c r="L43" s="2" t="s">
        <v>29</v>
      </c>
      <c r="M43" s="2">
        <v>9300.66</v>
      </c>
      <c r="N43" s="2" t="str">
        <f t="shared" si="1"/>
        <v>Medium Risk</v>
      </c>
      <c r="O43" s="2" t="b">
        <f>AND(OR($D43=T1_Region,T1_Region="All Regions"),OR($E43=T1_Income,T1_Income="All Income Groups"))</f>
        <v>1</v>
      </c>
    </row>
    <row r="44" ht="15.0" customHeight="1">
      <c r="A44" s="2" t="s">
        <v>27</v>
      </c>
      <c r="B44" s="2" t="s">
        <v>28</v>
      </c>
      <c r="C44" s="2">
        <v>2019.0</v>
      </c>
      <c r="D44" s="2" t="s">
        <v>11</v>
      </c>
      <c r="E44" s="2" t="s">
        <v>13</v>
      </c>
      <c r="F44" s="2">
        <v>40.31</v>
      </c>
      <c r="G44" s="2">
        <v>50.32</v>
      </c>
      <c r="H44" s="2">
        <v>53.29</v>
      </c>
      <c r="I44" s="2">
        <v>53.56</v>
      </c>
      <c r="J44" s="2">
        <v>49.37</v>
      </c>
      <c r="K44" s="2">
        <v>50.63</v>
      </c>
      <c r="L44" s="2" t="s">
        <v>29</v>
      </c>
      <c r="M44" s="2">
        <v>9029.83</v>
      </c>
      <c r="N44" s="2" t="str">
        <f t="shared" si="1"/>
        <v>Medium Risk</v>
      </c>
      <c r="O44" s="2" t="b">
        <f>AND(OR($D44=T1_Region,T1_Region="All Regions"),OR($E44=T1_Income,T1_Income="All Income Groups"))</f>
        <v>1</v>
      </c>
    </row>
    <row r="45" ht="15.0" customHeight="1">
      <c r="A45" s="2" t="s">
        <v>27</v>
      </c>
      <c r="B45" s="2" t="s">
        <v>28</v>
      </c>
      <c r="C45" s="2">
        <v>2020.0</v>
      </c>
      <c r="D45" s="2" t="s">
        <v>11</v>
      </c>
      <c r="E45" s="2" t="s">
        <v>13</v>
      </c>
      <c r="F45" s="2">
        <v>41.03</v>
      </c>
      <c r="G45" s="2">
        <v>50.22</v>
      </c>
      <c r="H45" s="2">
        <v>52.47</v>
      </c>
      <c r="I45" s="2">
        <v>58.59</v>
      </c>
      <c r="J45" s="2">
        <v>50.58</v>
      </c>
      <c r="K45" s="2">
        <v>49.42</v>
      </c>
      <c r="L45" s="2" t="s">
        <v>29</v>
      </c>
      <c r="M45" s="2">
        <v>7074.19</v>
      </c>
      <c r="N45" s="2" t="str">
        <f t="shared" si="1"/>
        <v>Medium Risk</v>
      </c>
      <c r="O45" s="2" t="b">
        <f>AND(OR($D45=T1_Region,T1_Region="All Regions"),OR($E45=T1_Income,T1_Income="All Income Groups"))</f>
        <v>1</v>
      </c>
    </row>
    <row r="46" ht="15.0" customHeight="1">
      <c r="A46" s="2" t="s">
        <v>27</v>
      </c>
      <c r="B46" s="2" t="s">
        <v>28</v>
      </c>
      <c r="C46" s="2">
        <v>2021.0</v>
      </c>
      <c r="D46" s="2" t="s">
        <v>11</v>
      </c>
      <c r="E46" s="2" t="s">
        <v>13</v>
      </c>
      <c r="F46" s="2">
        <v>39.67</v>
      </c>
      <c r="G46" s="2">
        <v>49.92</v>
      </c>
      <c r="H46" s="2">
        <v>52.48</v>
      </c>
      <c r="I46" s="2">
        <v>59.19</v>
      </c>
      <c r="J46" s="2">
        <v>50.32</v>
      </c>
      <c r="K46" s="2">
        <v>49.68</v>
      </c>
      <c r="L46" s="2" t="s">
        <v>29</v>
      </c>
      <c r="M46" s="2">
        <v>7972.54</v>
      </c>
      <c r="N46" s="2" t="str">
        <f t="shared" si="1"/>
        <v>Medium Risk</v>
      </c>
      <c r="O46" s="2" t="b">
        <f>AND(OR($D46=T1_Region,T1_Region="All Regions"),OR($E46=T1_Income,T1_Income="All Income Groups"))</f>
        <v>1</v>
      </c>
    </row>
    <row r="47" ht="15.0" customHeight="1">
      <c r="A47" s="2" t="s">
        <v>27</v>
      </c>
      <c r="B47" s="2" t="s">
        <v>28</v>
      </c>
      <c r="C47" s="2">
        <v>2022.0</v>
      </c>
      <c r="D47" s="2" t="s">
        <v>11</v>
      </c>
      <c r="E47" s="2" t="s">
        <v>13</v>
      </c>
      <c r="F47" s="2">
        <v>38.62</v>
      </c>
      <c r="G47" s="2">
        <v>49.39</v>
      </c>
      <c r="H47" s="2">
        <v>51.73</v>
      </c>
      <c r="I47" s="2">
        <v>58.79</v>
      </c>
      <c r="J47" s="2">
        <v>49.63</v>
      </c>
      <c r="K47" s="2">
        <v>50.37</v>
      </c>
      <c r="L47" s="2" t="s">
        <v>29</v>
      </c>
      <c r="M47" s="2">
        <v>9281.33</v>
      </c>
      <c r="N47" s="2" t="str">
        <f t="shared" si="1"/>
        <v>Medium Risk</v>
      </c>
      <c r="O47" s="2" t="b">
        <f>AND(OR($D47=T1_Region,T1_Region="All Regions"),OR($E47=T1_Income,T1_Income="All Income Groups"))</f>
        <v>1</v>
      </c>
    </row>
    <row r="48" ht="15.0" customHeight="1">
      <c r="A48" s="2" t="s">
        <v>27</v>
      </c>
      <c r="B48" s="2" t="s">
        <v>28</v>
      </c>
      <c r="C48" s="2">
        <v>2023.0</v>
      </c>
      <c r="D48" s="2" t="s">
        <v>11</v>
      </c>
      <c r="E48" s="2" t="s">
        <v>13</v>
      </c>
      <c r="F48" s="2">
        <v>38.72</v>
      </c>
      <c r="G48" s="2">
        <v>48.65</v>
      </c>
      <c r="H48" s="2">
        <v>51.14</v>
      </c>
      <c r="I48" s="2">
        <v>56.99</v>
      </c>
      <c r="J48" s="2">
        <v>48.87</v>
      </c>
      <c r="K48" s="2">
        <v>51.13</v>
      </c>
      <c r="L48" s="2" t="s">
        <v>29</v>
      </c>
      <c r="M48" s="2">
        <v>10377.59</v>
      </c>
      <c r="N48" s="2" t="str">
        <f t="shared" si="1"/>
        <v>Medium Risk</v>
      </c>
      <c r="O48" s="2" t="b">
        <f>AND(OR($D48=T1_Region,T1_Region="All Regions"),OR($E48=T1_Income,T1_Income="All Income Groups"))</f>
        <v>1</v>
      </c>
    </row>
    <row r="49" ht="15.0" customHeight="1">
      <c r="A49" s="2" t="s">
        <v>27</v>
      </c>
      <c r="B49" s="2" t="s">
        <v>28</v>
      </c>
      <c r="C49" s="2">
        <v>2024.0</v>
      </c>
      <c r="D49" s="2" t="s">
        <v>11</v>
      </c>
      <c r="E49" s="2" t="s">
        <v>13</v>
      </c>
      <c r="F49" s="2">
        <v>39.58</v>
      </c>
      <c r="G49" s="2">
        <v>49.28</v>
      </c>
      <c r="H49" s="2">
        <v>50.22</v>
      </c>
      <c r="I49" s="2">
        <v>57.0</v>
      </c>
      <c r="J49" s="2">
        <v>49.02</v>
      </c>
      <c r="K49" s="2">
        <v>50.98</v>
      </c>
      <c r="L49" s="2" t="s">
        <v>29</v>
      </c>
      <c r="M49" s="2">
        <v>10310.55</v>
      </c>
      <c r="N49" s="2" t="str">
        <f t="shared" si="1"/>
        <v>Medium Risk</v>
      </c>
      <c r="O49" s="2" t="b">
        <f>AND(OR($D49=T1_Region,T1_Region="All Regions"),OR($E49=T1_Income,T1_Income="All Income Groups"))</f>
        <v>1</v>
      </c>
    </row>
    <row r="50" ht="15.0" customHeight="1">
      <c r="A50" s="2" t="s">
        <v>30</v>
      </c>
      <c r="B50" s="2" t="s">
        <v>31</v>
      </c>
      <c r="C50" s="2">
        <v>2013.0</v>
      </c>
      <c r="D50" s="2" t="s">
        <v>32</v>
      </c>
      <c r="E50" s="2" t="s">
        <v>20</v>
      </c>
      <c r="F50" s="2">
        <v>84.88</v>
      </c>
      <c r="G50" s="2">
        <v>84.33</v>
      </c>
      <c r="H50" s="2">
        <v>82.51</v>
      </c>
      <c r="I50" s="2">
        <v>83.24</v>
      </c>
      <c r="J50" s="2">
        <v>83.74</v>
      </c>
      <c r="K50" s="2">
        <v>16.26</v>
      </c>
      <c r="L50" s="2" t="s">
        <v>97</v>
      </c>
      <c r="M50" s="2">
        <v>52637.73</v>
      </c>
      <c r="N50" s="2" t="str">
        <f t="shared" si="1"/>
        <v>Low Risk</v>
      </c>
      <c r="O50" s="2" t="b">
        <f>AND(OR($D50=T1_Region,T1_Region="All Regions"),OR($E50=T1_Income,T1_Income="All Income Groups"))</f>
        <v>1</v>
      </c>
    </row>
    <row r="51" ht="15.0" customHeight="1">
      <c r="A51" s="2" t="s">
        <v>30</v>
      </c>
      <c r="B51" s="2" t="s">
        <v>31</v>
      </c>
      <c r="C51" s="2">
        <v>2014.0</v>
      </c>
      <c r="D51" s="2" t="s">
        <v>32</v>
      </c>
      <c r="E51" s="2" t="s">
        <v>20</v>
      </c>
      <c r="F51" s="2">
        <v>84.65</v>
      </c>
      <c r="G51" s="2">
        <v>85.25</v>
      </c>
      <c r="H51" s="2">
        <v>81.4</v>
      </c>
      <c r="I51" s="2">
        <v>85.75</v>
      </c>
      <c r="J51" s="2">
        <v>84.26</v>
      </c>
      <c r="K51" s="2">
        <v>15.74</v>
      </c>
      <c r="L51" s="2" t="s">
        <v>97</v>
      </c>
      <c r="M51" s="2">
        <v>50960.89</v>
      </c>
      <c r="N51" s="2" t="str">
        <f t="shared" si="1"/>
        <v>Low Risk</v>
      </c>
      <c r="O51" s="2" t="b">
        <f>AND(OR($D51=T1_Region,T1_Region="All Regions"),OR($E51=T1_Income,T1_Income="All Income Groups"))</f>
        <v>1</v>
      </c>
    </row>
    <row r="52" ht="15.0" customHeight="1">
      <c r="A52" s="2" t="s">
        <v>30</v>
      </c>
      <c r="B52" s="2" t="s">
        <v>31</v>
      </c>
      <c r="C52" s="2">
        <v>2015.0</v>
      </c>
      <c r="D52" s="2" t="s">
        <v>32</v>
      </c>
      <c r="E52" s="2" t="s">
        <v>20</v>
      </c>
      <c r="F52" s="2">
        <v>85.67</v>
      </c>
      <c r="G52" s="2">
        <v>86.58</v>
      </c>
      <c r="H52" s="2">
        <v>81.03</v>
      </c>
      <c r="I52" s="2">
        <v>86.1</v>
      </c>
      <c r="J52" s="2">
        <v>84.84</v>
      </c>
      <c r="K52" s="2">
        <v>15.16</v>
      </c>
      <c r="L52" s="2" t="s">
        <v>97</v>
      </c>
      <c r="M52" s="2">
        <v>43594.24</v>
      </c>
      <c r="N52" s="2" t="str">
        <f t="shared" si="1"/>
        <v>Low Risk</v>
      </c>
      <c r="O52" s="2" t="b">
        <f>AND(OR($D52=T1_Region,T1_Region="All Regions"),OR($E52=T1_Income,T1_Income="All Income Groups"))</f>
        <v>1</v>
      </c>
    </row>
    <row r="53" ht="15.0" customHeight="1">
      <c r="A53" s="2" t="s">
        <v>30</v>
      </c>
      <c r="B53" s="2" t="s">
        <v>31</v>
      </c>
      <c r="C53" s="2">
        <v>2016.0</v>
      </c>
      <c r="D53" s="2" t="s">
        <v>32</v>
      </c>
      <c r="E53" s="2" t="s">
        <v>20</v>
      </c>
      <c r="F53" s="2">
        <v>87.14</v>
      </c>
      <c r="G53" s="2">
        <v>86.72</v>
      </c>
      <c r="H53" s="2">
        <v>82.79</v>
      </c>
      <c r="I53" s="2">
        <v>85.75</v>
      </c>
      <c r="J53" s="2">
        <v>85.6</v>
      </c>
      <c r="K53" s="2">
        <v>14.4</v>
      </c>
      <c r="L53" s="2" t="s">
        <v>97</v>
      </c>
      <c r="M53" s="2">
        <v>42314.1</v>
      </c>
      <c r="N53" s="2" t="str">
        <f t="shared" si="1"/>
        <v>Low Risk</v>
      </c>
      <c r="O53" s="2" t="b">
        <f>AND(OR($D53=T1_Region,T1_Region="All Regions"),OR($E53=T1_Income,T1_Income="All Income Groups"))</f>
        <v>1</v>
      </c>
    </row>
    <row r="54" ht="15.0" customHeight="1">
      <c r="A54" s="2" t="s">
        <v>30</v>
      </c>
      <c r="B54" s="2" t="s">
        <v>31</v>
      </c>
      <c r="C54" s="2">
        <v>2017.0</v>
      </c>
      <c r="D54" s="2" t="s">
        <v>32</v>
      </c>
      <c r="E54" s="2" t="s">
        <v>20</v>
      </c>
      <c r="F54" s="2">
        <v>85.99</v>
      </c>
      <c r="G54" s="2">
        <v>86.44</v>
      </c>
      <c r="H54" s="2">
        <v>83.94</v>
      </c>
      <c r="I54" s="2">
        <v>83.3</v>
      </c>
      <c r="J54" s="2">
        <v>84.92</v>
      </c>
      <c r="K54" s="2">
        <v>15.08</v>
      </c>
      <c r="L54" s="2" t="s">
        <v>97</v>
      </c>
      <c r="M54" s="2">
        <v>45129.73</v>
      </c>
      <c r="N54" s="2" t="str">
        <f t="shared" si="1"/>
        <v>Low Risk</v>
      </c>
      <c r="O54" s="2" t="b">
        <f>AND(OR($D54=T1_Region,T1_Region="All Regions"),OR($E54=T1_Income,T1_Income="All Income Groups"))</f>
        <v>1</v>
      </c>
    </row>
    <row r="55" ht="15.0" customHeight="1">
      <c r="A55" s="2" t="s">
        <v>30</v>
      </c>
      <c r="B55" s="2" t="s">
        <v>31</v>
      </c>
      <c r="C55" s="2">
        <v>2018.0</v>
      </c>
      <c r="D55" s="2" t="s">
        <v>32</v>
      </c>
      <c r="E55" s="2" t="s">
        <v>20</v>
      </c>
      <c r="F55" s="2">
        <v>84.44</v>
      </c>
      <c r="G55" s="2">
        <v>86.27</v>
      </c>
      <c r="H55" s="2">
        <v>80.76</v>
      </c>
      <c r="I55" s="2">
        <v>81.9</v>
      </c>
      <c r="J55" s="2">
        <v>83.34</v>
      </c>
      <c r="K55" s="2">
        <v>16.66</v>
      </c>
      <c r="L55" s="2" t="s">
        <v>97</v>
      </c>
      <c r="M55" s="2">
        <v>46539.22</v>
      </c>
      <c r="N55" s="2" t="str">
        <f t="shared" si="1"/>
        <v>Low Risk</v>
      </c>
      <c r="O55" s="2" t="b">
        <f>AND(OR($D55=T1_Region,T1_Region="All Regions"),OR($E55=T1_Income,T1_Income="All Income Groups"))</f>
        <v>1</v>
      </c>
    </row>
    <row r="56" ht="15.0" customHeight="1">
      <c r="A56" s="2" t="s">
        <v>30</v>
      </c>
      <c r="B56" s="2" t="s">
        <v>31</v>
      </c>
      <c r="C56" s="2">
        <v>2019.0</v>
      </c>
      <c r="D56" s="2" t="s">
        <v>32</v>
      </c>
      <c r="E56" s="2" t="s">
        <v>20</v>
      </c>
      <c r="F56" s="2">
        <v>84.2</v>
      </c>
      <c r="G56" s="2">
        <v>85.92</v>
      </c>
      <c r="H56" s="2">
        <v>81.4</v>
      </c>
      <c r="I56" s="2">
        <v>81.34</v>
      </c>
      <c r="J56" s="2">
        <v>83.21</v>
      </c>
      <c r="K56" s="2">
        <v>16.79</v>
      </c>
      <c r="L56" s="2" t="s">
        <v>97</v>
      </c>
      <c r="M56" s="2">
        <v>46352.97</v>
      </c>
      <c r="N56" s="2" t="str">
        <f t="shared" si="1"/>
        <v>Low Risk</v>
      </c>
      <c r="O56" s="2" t="b">
        <f>AND(OR($D56=T1_Region,T1_Region="All Regions"),OR($E56=T1_Income,T1_Income="All Income Groups"))</f>
        <v>1</v>
      </c>
    </row>
    <row r="57" ht="15.0" customHeight="1">
      <c r="A57" s="2" t="s">
        <v>30</v>
      </c>
      <c r="B57" s="2" t="s">
        <v>31</v>
      </c>
      <c r="C57" s="2">
        <v>2020.0</v>
      </c>
      <c r="D57" s="2" t="s">
        <v>32</v>
      </c>
      <c r="E57" s="2" t="s">
        <v>20</v>
      </c>
      <c r="F57" s="2">
        <v>81.1</v>
      </c>
      <c r="G57" s="2">
        <v>83.79</v>
      </c>
      <c r="H57" s="2">
        <v>79.98</v>
      </c>
      <c r="I57" s="2">
        <v>82.05</v>
      </c>
      <c r="J57" s="2">
        <v>81.73</v>
      </c>
      <c r="K57" s="2">
        <v>18.27</v>
      </c>
      <c r="L57" s="2" t="s">
        <v>97</v>
      </c>
      <c r="M57" s="2">
        <v>43537.9</v>
      </c>
      <c r="N57" s="2" t="str">
        <f t="shared" si="1"/>
        <v>Low Risk</v>
      </c>
      <c r="O57" s="2" t="b">
        <f>AND(OR($D57=T1_Region,T1_Region="All Regions"),OR($E57=T1_Income,T1_Income="All Income Groups"))</f>
        <v>1</v>
      </c>
    </row>
    <row r="58" ht="15.0" customHeight="1">
      <c r="A58" s="2" t="s">
        <v>30</v>
      </c>
      <c r="B58" s="2" t="s">
        <v>31</v>
      </c>
      <c r="C58" s="2">
        <v>2021.0</v>
      </c>
      <c r="D58" s="2" t="s">
        <v>32</v>
      </c>
      <c r="E58" s="2" t="s">
        <v>20</v>
      </c>
      <c r="F58" s="2">
        <v>80.56</v>
      </c>
      <c r="G58" s="2">
        <v>83.63</v>
      </c>
      <c r="H58" s="2">
        <v>80.6</v>
      </c>
      <c r="I58" s="2">
        <v>78.88</v>
      </c>
      <c r="J58" s="2">
        <v>80.92</v>
      </c>
      <c r="K58" s="2">
        <v>19.08</v>
      </c>
      <c r="L58" s="2" t="s">
        <v>97</v>
      </c>
      <c r="M58" s="2">
        <v>52886.64</v>
      </c>
      <c r="N58" s="2" t="str">
        <f t="shared" si="1"/>
        <v>Low Risk</v>
      </c>
      <c r="O58" s="2" t="b">
        <f>AND(OR($D58=T1_Region,T1_Region="All Regions"),OR($E58=T1_Income,T1_Income="All Income Groups"))</f>
        <v>1</v>
      </c>
    </row>
    <row r="59" ht="15.0" customHeight="1">
      <c r="A59" s="2" t="s">
        <v>30</v>
      </c>
      <c r="B59" s="2" t="s">
        <v>31</v>
      </c>
      <c r="C59" s="2">
        <v>2022.0</v>
      </c>
      <c r="D59" s="2" t="s">
        <v>32</v>
      </c>
      <c r="E59" s="2" t="s">
        <v>20</v>
      </c>
      <c r="F59" s="2">
        <v>81.29</v>
      </c>
      <c r="G59" s="2">
        <v>82.87</v>
      </c>
      <c r="H59" s="2">
        <v>80.61</v>
      </c>
      <c r="I59" s="2">
        <v>74.56</v>
      </c>
      <c r="J59" s="2">
        <v>79.83</v>
      </c>
      <c r="K59" s="2">
        <v>20.17</v>
      </c>
      <c r="L59" s="2" t="s">
        <v>97</v>
      </c>
      <c r="M59" s="2">
        <v>56496.93</v>
      </c>
      <c r="N59" s="2" t="str">
        <f t="shared" si="1"/>
        <v>Low Risk</v>
      </c>
      <c r="O59" s="2" t="b">
        <f>AND(OR($D59=T1_Region,T1_Region="All Regions"),OR($E59=T1_Income,T1_Income="All Income Groups"))</f>
        <v>1</v>
      </c>
    </row>
    <row r="60" ht="15.0" customHeight="1">
      <c r="A60" s="2" t="s">
        <v>30</v>
      </c>
      <c r="B60" s="2" t="s">
        <v>31</v>
      </c>
      <c r="C60" s="2">
        <v>2023.0</v>
      </c>
      <c r="D60" s="2" t="s">
        <v>32</v>
      </c>
      <c r="E60" s="2" t="s">
        <v>20</v>
      </c>
      <c r="F60" s="2">
        <v>80.77</v>
      </c>
      <c r="G60" s="2">
        <v>81.68</v>
      </c>
      <c r="H60" s="2">
        <v>79.66</v>
      </c>
      <c r="I60" s="2">
        <v>76.6</v>
      </c>
      <c r="J60" s="2">
        <v>79.68</v>
      </c>
      <c r="K60" s="2">
        <v>20.32</v>
      </c>
      <c r="L60" s="2" t="s">
        <v>97</v>
      </c>
      <c r="M60" s="2">
        <v>54847.54</v>
      </c>
      <c r="N60" s="2" t="str">
        <f t="shared" si="1"/>
        <v>Low Risk</v>
      </c>
      <c r="O60" s="2" t="b">
        <f>AND(OR($D60=T1_Region,T1_Region="All Regions"),OR($E60=T1_Income,T1_Income="All Income Groups"))</f>
        <v>1</v>
      </c>
    </row>
    <row r="61" ht="15.0" customHeight="1">
      <c r="A61" s="2" t="s">
        <v>30</v>
      </c>
      <c r="B61" s="2" t="s">
        <v>31</v>
      </c>
      <c r="C61" s="2">
        <v>2024.0</v>
      </c>
      <c r="D61" s="2" t="s">
        <v>32</v>
      </c>
      <c r="E61" s="2" t="s">
        <v>20</v>
      </c>
      <c r="F61" s="2">
        <v>80.89</v>
      </c>
      <c r="G61" s="2">
        <v>82.11</v>
      </c>
      <c r="H61" s="2">
        <v>76.35</v>
      </c>
      <c r="I61" s="2">
        <v>76.12</v>
      </c>
      <c r="J61" s="2">
        <v>78.86</v>
      </c>
      <c r="K61" s="2">
        <v>21.14</v>
      </c>
      <c r="L61" s="2" t="s">
        <v>97</v>
      </c>
      <c r="M61" s="2">
        <v>55015.71</v>
      </c>
      <c r="N61" s="2" t="str">
        <f t="shared" si="1"/>
        <v>Low Risk</v>
      </c>
      <c r="O61" s="2" t="b">
        <f>AND(OR($D61=T1_Region,T1_Region="All Regions"),OR($E61=T1_Income,T1_Income="All Income Groups"))</f>
        <v>1</v>
      </c>
    </row>
    <row r="62" ht="15.0" customHeight="1">
      <c r="A62" s="2" t="s">
        <v>33</v>
      </c>
      <c r="B62" s="2" t="s">
        <v>34</v>
      </c>
      <c r="C62" s="2">
        <v>2013.0</v>
      </c>
      <c r="D62" s="2" t="s">
        <v>11</v>
      </c>
      <c r="E62" s="2" t="s">
        <v>20</v>
      </c>
      <c r="F62" s="2">
        <v>76.82</v>
      </c>
      <c r="G62" s="2">
        <v>75.44</v>
      </c>
      <c r="H62" s="2">
        <v>78.54</v>
      </c>
      <c r="I62" s="2">
        <v>75.7</v>
      </c>
      <c r="J62" s="2">
        <v>76.63</v>
      </c>
      <c r="K62" s="2">
        <v>23.37</v>
      </c>
      <c r="L62" s="2" t="s">
        <v>97</v>
      </c>
      <c r="M62" s="2">
        <v>15683.55</v>
      </c>
      <c r="N62" s="2" t="str">
        <f t="shared" si="1"/>
        <v>Low Risk</v>
      </c>
      <c r="O62" s="2" t="b">
        <f>AND(OR($D62=T1_Region,T1_Region="All Regions"),OR($E62=T1_Income,T1_Income="All Income Groups"))</f>
        <v>1</v>
      </c>
    </row>
    <row r="63" ht="15.0" customHeight="1">
      <c r="A63" s="2" t="s">
        <v>33</v>
      </c>
      <c r="B63" s="2" t="s">
        <v>34</v>
      </c>
      <c r="C63" s="2">
        <v>2014.0</v>
      </c>
      <c r="D63" s="2" t="s">
        <v>11</v>
      </c>
      <c r="E63" s="2" t="s">
        <v>20</v>
      </c>
      <c r="F63" s="2">
        <v>75.91</v>
      </c>
      <c r="G63" s="2">
        <v>75.17</v>
      </c>
      <c r="H63" s="2">
        <v>75.74</v>
      </c>
      <c r="I63" s="2">
        <v>78.17</v>
      </c>
      <c r="J63" s="2">
        <v>76.25</v>
      </c>
      <c r="K63" s="2">
        <v>23.75</v>
      </c>
      <c r="L63" s="2" t="s">
        <v>97</v>
      </c>
      <c r="M63" s="2">
        <v>14529.68</v>
      </c>
      <c r="N63" s="2" t="str">
        <f t="shared" si="1"/>
        <v>Low Risk</v>
      </c>
      <c r="O63" s="2" t="b">
        <f>AND(OR($D63=T1_Region,T1_Region="All Regions"),OR($E63=T1_Income,T1_Income="All Income Groups"))</f>
        <v>1</v>
      </c>
    </row>
    <row r="64" ht="15.0" customHeight="1">
      <c r="A64" s="2" t="s">
        <v>33</v>
      </c>
      <c r="B64" s="2" t="s">
        <v>34</v>
      </c>
      <c r="C64" s="2">
        <v>2015.0</v>
      </c>
      <c r="D64" s="2" t="s">
        <v>11</v>
      </c>
      <c r="E64" s="2" t="s">
        <v>20</v>
      </c>
      <c r="F64" s="2">
        <v>71.01</v>
      </c>
      <c r="G64" s="2">
        <v>74.23</v>
      </c>
      <c r="H64" s="2">
        <v>74.15</v>
      </c>
      <c r="I64" s="2">
        <v>77.48</v>
      </c>
      <c r="J64" s="2">
        <v>74.22</v>
      </c>
      <c r="K64" s="2">
        <v>25.78</v>
      </c>
      <c r="L64" s="2" t="s">
        <v>97</v>
      </c>
      <c r="M64" s="2">
        <v>13433.92</v>
      </c>
      <c r="N64" s="2" t="str">
        <f t="shared" si="1"/>
        <v>Low Risk</v>
      </c>
      <c r="O64" s="2" t="b">
        <f>AND(OR($D64=T1_Region,T1_Region="All Regions"),OR($E64=T1_Income,T1_Income="All Income Groups"))</f>
        <v>1</v>
      </c>
    </row>
    <row r="65" ht="15.0" customHeight="1">
      <c r="A65" s="2" t="s">
        <v>33</v>
      </c>
      <c r="B65" s="2" t="s">
        <v>34</v>
      </c>
      <c r="C65" s="2">
        <v>2016.0</v>
      </c>
      <c r="D65" s="2" t="s">
        <v>11</v>
      </c>
      <c r="E65" s="2" t="s">
        <v>20</v>
      </c>
      <c r="F65" s="2">
        <v>70.19</v>
      </c>
      <c r="G65" s="2">
        <v>73.99</v>
      </c>
      <c r="H65" s="2">
        <v>74.99</v>
      </c>
      <c r="I65" s="2">
        <v>76.04</v>
      </c>
      <c r="J65" s="2">
        <v>73.8</v>
      </c>
      <c r="K65" s="2">
        <v>26.2</v>
      </c>
      <c r="L65" s="2" t="s">
        <v>97</v>
      </c>
      <c r="M65" s="2">
        <v>13649.85</v>
      </c>
      <c r="N65" s="2" t="str">
        <f t="shared" si="1"/>
        <v>Low Risk</v>
      </c>
      <c r="O65" s="2" t="b">
        <f>AND(OR($D65=T1_Region,T1_Region="All Regions"),OR($E65=T1_Income,T1_Income="All Income Groups"))</f>
        <v>1</v>
      </c>
    </row>
    <row r="66" ht="15.0" customHeight="1">
      <c r="A66" s="2" t="s">
        <v>33</v>
      </c>
      <c r="B66" s="2" t="s">
        <v>34</v>
      </c>
      <c r="C66" s="2">
        <v>2017.0</v>
      </c>
      <c r="D66" s="2" t="s">
        <v>11</v>
      </c>
      <c r="E66" s="2" t="s">
        <v>20</v>
      </c>
      <c r="F66" s="2">
        <v>70.37</v>
      </c>
      <c r="G66" s="2">
        <v>73.61</v>
      </c>
      <c r="H66" s="2">
        <v>74.42</v>
      </c>
      <c r="I66" s="2">
        <v>75.96</v>
      </c>
      <c r="J66" s="2">
        <v>73.59</v>
      </c>
      <c r="K66" s="2">
        <v>26.41</v>
      </c>
      <c r="L66" s="2" t="s">
        <v>97</v>
      </c>
      <c r="M66" s="2">
        <v>14879.91</v>
      </c>
      <c r="N66" s="2" t="str">
        <f t="shared" si="1"/>
        <v>Low Risk</v>
      </c>
      <c r="O66" s="2" t="b">
        <f>AND(OR($D66=T1_Region,T1_Region="All Regions"),OR($E66=T1_Income,T1_Income="All Income Groups"))</f>
        <v>1</v>
      </c>
    </row>
    <row r="67" ht="15.0" customHeight="1">
      <c r="A67" s="2" t="s">
        <v>33</v>
      </c>
      <c r="B67" s="2" t="s">
        <v>34</v>
      </c>
      <c r="C67" s="2">
        <v>2018.0</v>
      </c>
      <c r="D67" s="2" t="s">
        <v>11</v>
      </c>
      <c r="E67" s="2" t="s">
        <v>20</v>
      </c>
      <c r="F67" s="2">
        <v>70.37</v>
      </c>
      <c r="G67" s="2">
        <v>73.45</v>
      </c>
      <c r="H67" s="2">
        <v>73.4</v>
      </c>
      <c r="I67" s="2">
        <v>77.41</v>
      </c>
      <c r="J67" s="2">
        <v>73.66</v>
      </c>
      <c r="K67" s="2">
        <v>26.34</v>
      </c>
      <c r="L67" s="2" t="s">
        <v>97</v>
      </c>
      <c r="M67" s="2">
        <v>15659.48</v>
      </c>
      <c r="N67" s="2" t="str">
        <f t="shared" si="1"/>
        <v>Low Risk</v>
      </c>
      <c r="O67" s="2" t="b">
        <f>AND(OR($D67=T1_Region,T1_Region="All Regions"),OR($E67=T1_Income,T1_Income="All Income Groups"))</f>
        <v>1</v>
      </c>
    </row>
    <row r="68" ht="15.0" customHeight="1">
      <c r="A68" s="2" t="s">
        <v>33</v>
      </c>
      <c r="B68" s="2" t="s">
        <v>34</v>
      </c>
      <c r="C68" s="2">
        <v>2019.0</v>
      </c>
      <c r="D68" s="2" t="s">
        <v>11</v>
      </c>
      <c r="E68" s="2" t="s">
        <v>20</v>
      </c>
      <c r="F68" s="2">
        <v>71.28</v>
      </c>
      <c r="G68" s="2">
        <v>72.7</v>
      </c>
      <c r="H68" s="2">
        <v>71.85</v>
      </c>
      <c r="I68" s="2">
        <v>68.73</v>
      </c>
      <c r="J68" s="2">
        <v>71.14</v>
      </c>
      <c r="K68" s="2">
        <v>28.86</v>
      </c>
      <c r="L68" s="2" t="s">
        <v>97</v>
      </c>
      <c r="M68" s="2">
        <v>14496.93</v>
      </c>
      <c r="N68" s="2" t="str">
        <f t="shared" si="1"/>
        <v>Low Risk</v>
      </c>
      <c r="O68" s="2" t="b">
        <f>AND(OR($D68=T1_Region,T1_Region="All Regions"),OR($E68=T1_Income,T1_Income="All Income Groups"))</f>
        <v>1</v>
      </c>
    </row>
    <row r="69" ht="15.0" customHeight="1">
      <c r="A69" s="2" t="s">
        <v>33</v>
      </c>
      <c r="B69" s="2" t="s">
        <v>34</v>
      </c>
      <c r="C69" s="2">
        <v>2020.0</v>
      </c>
      <c r="D69" s="2" t="s">
        <v>11</v>
      </c>
      <c r="E69" s="2" t="s">
        <v>20</v>
      </c>
      <c r="F69" s="2">
        <v>72.46</v>
      </c>
      <c r="G69" s="2">
        <v>69.69</v>
      </c>
      <c r="H69" s="2">
        <v>68.9</v>
      </c>
      <c r="I69" s="2">
        <v>68.22</v>
      </c>
      <c r="J69" s="2">
        <v>69.82</v>
      </c>
      <c r="K69" s="2">
        <v>30.18</v>
      </c>
      <c r="L69" s="2" t="s">
        <v>97</v>
      </c>
      <c r="M69" s="2">
        <v>13117.99</v>
      </c>
      <c r="N69" s="2" t="str">
        <f t="shared" si="1"/>
        <v>Low Risk</v>
      </c>
      <c r="O69" s="2" t="b">
        <f>AND(OR($D69=T1_Region,T1_Region="All Regions"),OR($E69=T1_Income,T1_Income="All Income Groups"))</f>
        <v>1</v>
      </c>
    </row>
    <row r="70" ht="15.0" customHeight="1">
      <c r="A70" s="2" t="s">
        <v>33</v>
      </c>
      <c r="B70" s="2" t="s">
        <v>34</v>
      </c>
      <c r="C70" s="2">
        <v>2021.0</v>
      </c>
      <c r="D70" s="2" t="s">
        <v>11</v>
      </c>
      <c r="E70" s="2" t="s">
        <v>20</v>
      </c>
      <c r="F70" s="2">
        <v>71.06</v>
      </c>
      <c r="G70" s="2">
        <v>69.98</v>
      </c>
      <c r="H70" s="2">
        <v>68.64</v>
      </c>
      <c r="I70" s="2">
        <v>68.39</v>
      </c>
      <c r="J70" s="2">
        <v>69.52</v>
      </c>
      <c r="K70" s="2">
        <v>30.48</v>
      </c>
      <c r="L70" s="2" t="s">
        <v>97</v>
      </c>
      <c r="M70" s="2">
        <v>16216.18</v>
      </c>
      <c r="N70" s="2" t="str">
        <f t="shared" si="1"/>
        <v>Low Risk</v>
      </c>
      <c r="O70" s="2" t="b">
        <f>AND(OR($D70=T1_Region,T1_Region="All Regions"),OR($E70=T1_Income,T1_Income="All Income Groups"))</f>
        <v>1</v>
      </c>
    </row>
    <row r="71" ht="15.0" customHeight="1">
      <c r="A71" s="2" t="s">
        <v>33</v>
      </c>
      <c r="B71" s="2" t="s">
        <v>34</v>
      </c>
      <c r="C71" s="2">
        <v>2022.0</v>
      </c>
      <c r="D71" s="2" t="s">
        <v>11</v>
      </c>
      <c r="E71" s="2" t="s">
        <v>20</v>
      </c>
      <c r="F71" s="2">
        <v>71.04</v>
      </c>
      <c r="G71" s="2">
        <v>69.77</v>
      </c>
      <c r="H71" s="2">
        <v>67.92</v>
      </c>
      <c r="I71" s="2">
        <v>65.82</v>
      </c>
      <c r="J71" s="2">
        <v>68.64</v>
      </c>
      <c r="K71" s="2">
        <v>31.36</v>
      </c>
      <c r="L71" s="2" t="s">
        <v>97</v>
      </c>
      <c r="M71" s="2">
        <v>15399.1</v>
      </c>
      <c r="N71" s="2" t="str">
        <f t="shared" si="1"/>
        <v>Low Risk</v>
      </c>
      <c r="O71" s="2" t="b">
        <f>AND(OR($D71=T1_Region,T1_Region="All Regions"),OR($E71=T1_Income,T1_Income="All Income Groups"))</f>
        <v>1</v>
      </c>
    </row>
    <row r="72" ht="15.0" customHeight="1">
      <c r="A72" s="2" t="s">
        <v>33</v>
      </c>
      <c r="B72" s="2" t="s">
        <v>34</v>
      </c>
      <c r="C72" s="2">
        <v>2023.0</v>
      </c>
      <c r="D72" s="2" t="s">
        <v>11</v>
      </c>
      <c r="E72" s="2" t="s">
        <v>20</v>
      </c>
      <c r="F72" s="2">
        <v>68.74</v>
      </c>
      <c r="G72" s="2">
        <v>68.41</v>
      </c>
      <c r="H72" s="2">
        <v>68.23</v>
      </c>
      <c r="I72" s="2">
        <v>67.39</v>
      </c>
      <c r="J72" s="2">
        <v>68.19</v>
      </c>
      <c r="K72" s="2">
        <v>31.81</v>
      </c>
      <c r="L72" s="2" t="s">
        <v>97</v>
      </c>
      <c r="M72" s="2">
        <v>17081.52</v>
      </c>
      <c r="N72" s="2" t="str">
        <f t="shared" si="1"/>
        <v>Low Risk</v>
      </c>
      <c r="O72" s="2" t="b">
        <f>AND(OR($D72=T1_Region,T1_Region="All Regions"),OR($E72=T1_Income,T1_Income="All Income Groups"))</f>
        <v>1</v>
      </c>
    </row>
    <row r="73" ht="15.0" customHeight="1">
      <c r="A73" s="2" t="s">
        <v>33</v>
      </c>
      <c r="B73" s="2" t="s">
        <v>34</v>
      </c>
      <c r="C73" s="2">
        <v>2024.0</v>
      </c>
      <c r="D73" s="2" t="s">
        <v>11</v>
      </c>
      <c r="E73" s="2" t="s">
        <v>20</v>
      </c>
      <c r="F73" s="2">
        <v>70.24</v>
      </c>
      <c r="G73" s="2">
        <v>68.86</v>
      </c>
      <c r="H73" s="2">
        <v>67.18</v>
      </c>
      <c r="I73" s="2">
        <v>67.97</v>
      </c>
      <c r="J73" s="2">
        <v>68.56</v>
      </c>
      <c r="K73" s="2">
        <v>31.44</v>
      </c>
      <c r="L73" s="2" t="s">
        <v>97</v>
      </c>
      <c r="M73" s="2">
        <v>16658.97</v>
      </c>
      <c r="N73" s="2" t="str">
        <f t="shared" si="1"/>
        <v>Low Risk</v>
      </c>
      <c r="O73" s="2" t="b">
        <f>AND(OR($D73=T1_Region,T1_Region="All Regions"),OR($E73=T1_Income,T1_Income="All Income Groups"))</f>
        <v>1</v>
      </c>
    </row>
    <row r="74" ht="15.0" customHeight="1">
      <c r="A74" s="2" t="s">
        <v>35</v>
      </c>
      <c r="B74" s="2" t="s">
        <v>36</v>
      </c>
      <c r="C74" s="2">
        <v>2013.0</v>
      </c>
      <c r="D74" s="2" t="s">
        <v>19</v>
      </c>
      <c r="E74" s="2" t="s">
        <v>13</v>
      </c>
      <c r="F74" s="2">
        <v>38.58</v>
      </c>
      <c r="G74" s="2">
        <v>43.28</v>
      </c>
      <c r="H74" s="2">
        <v>50.72</v>
      </c>
      <c r="I74" s="2">
        <v>56.28</v>
      </c>
      <c r="J74" s="2">
        <v>47.22</v>
      </c>
      <c r="K74" s="2">
        <v>52.78</v>
      </c>
      <c r="L74" s="2" t="s">
        <v>29</v>
      </c>
      <c r="M74" s="2">
        <v>7147.04</v>
      </c>
      <c r="N74" s="2" t="str">
        <f t="shared" si="1"/>
        <v>Medium Risk</v>
      </c>
      <c r="O74" s="2" t="b">
        <f>AND(OR($D74=T1_Region,T1_Region="All Regions"),OR($E74=T1_Income,T1_Income="All Income Groups"))</f>
        <v>1</v>
      </c>
    </row>
    <row r="75" ht="15.0" customHeight="1">
      <c r="A75" s="2" t="s">
        <v>35</v>
      </c>
      <c r="B75" s="2" t="s">
        <v>36</v>
      </c>
      <c r="C75" s="2">
        <v>2014.0</v>
      </c>
      <c r="D75" s="2" t="s">
        <v>19</v>
      </c>
      <c r="E75" s="2" t="s">
        <v>13</v>
      </c>
      <c r="F75" s="2">
        <v>41.75</v>
      </c>
      <c r="G75" s="2">
        <v>45.08</v>
      </c>
      <c r="H75" s="2">
        <v>52.2</v>
      </c>
      <c r="I75" s="2">
        <v>56.95</v>
      </c>
      <c r="J75" s="2">
        <v>48.99</v>
      </c>
      <c r="K75" s="2">
        <v>51.01</v>
      </c>
      <c r="L75" s="2" t="s">
        <v>29</v>
      </c>
      <c r="M75" s="2">
        <v>7781.07</v>
      </c>
      <c r="N75" s="2" t="str">
        <f t="shared" si="1"/>
        <v>Medium Risk</v>
      </c>
      <c r="O75" s="2" t="b">
        <f>AND(OR($D75=T1_Region,T1_Region="All Regions"),OR($E75=T1_Income,T1_Income="All Income Groups"))</f>
        <v>1</v>
      </c>
    </row>
    <row r="76" ht="15.0" customHeight="1">
      <c r="A76" s="2" t="s">
        <v>35</v>
      </c>
      <c r="B76" s="2" t="s">
        <v>36</v>
      </c>
      <c r="C76" s="2">
        <v>2015.0</v>
      </c>
      <c r="D76" s="2" t="s">
        <v>19</v>
      </c>
      <c r="E76" s="2" t="s">
        <v>13</v>
      </c>
      <c r="F76" s="2">
        <v>44.31</v>
      </c>
      <c r="G76" s="2">
        <v>45.57</v>
      </c>
      <c r="H76" s="2">
        <v>52.04</v>
      </c>
      <c r="I76" s="2">
        <v>56.56</v>
      </c>
      <c r="J76" s="2">
        <v>49.62</v>
      </c>
      <c r="K76" s="2">
        <v>50.38</v>
      </c>
      <c r="L76" s="2" t="s">
        <v>29</v>
      </c>
      <c r="M76" s="2">
        <v>8175.33</v>
      </c>
      <c r="N76" s="2" t="str">
        <f t="shared" si="1"/>
        <v>Medium Risk</v>
      </c>
      <c r="O76" s="2" t="b">
        <f>AND(OR($D76=T1_Region,T1_Region="All Regions"),OR($E76=T1_Income,T1_Income="All Income Groups"))</f>
        <v>1</v>
      </c>
    </row>
    <row r="77" ht="15.0" customHeight="1">
      <c r="A77" s="2" t="s">
        <v>35</v>
      </c>
      <c r="B77" s="2" t="s">
        <v>36</v>
      </c>
      <c r="C77" s="2">
        <v>2016.0</v>
      </c>
      <c r="D77" s="2" t="s">
        <v>19</v>
      </c>
      <c r="E77" s="2" t="s">
        <v>13</v>
      </c>
      <c r="F77" s="2">
        <v>45.97</v>
      </c>
      <c r="G77" s="2">
        <v>46.27</v>
      </c>
      <c r="H77" s="2">
        <v>52.53</v>
      </c>
      <c r="I77" s="2">
        <v>57.33</v>
      </c>
      <c r="J77" s="2">
        <v>50.53</v>
      </c>
      <c r="K77" s="2">
        <v>49.47</v>
      </c>
      <c r="L77" s="2" t="s">
        <v>29</v>
      </c>
      <c r="M77" s="2">
        <v>8254.87</v>
      </c>
      <c r="N77" s="2" t="str">
        <f t="shared" si="1"/>
        <v>Medium Risk</v>
      </c>
      <c r="O77" s="2" t="b">
        <f>AND(OR($D77=T1_Region,T1_Region="All Regions"),OR($E77=T1_Income,T1_Income="All Income Groups"))</f>
        <v>1</v>
      </c>
    </row>
    <row r="78" ht="15.0" customHeight="1">
      <c r="A78" s="2" t="s">
        <v>35</v>
      </c>
      <c r="B78" s="2" t="s">
        <v>36</v>
      </c>
      <c r="C78" s="2">
        <v>2017.0</v>
      </c>
      <c r="D78" s="2" t="s">
        <v>19</v>
      </c>
      <c r="E78" s="2" t="s">
        <v>13</v>
      </c>
      <c r="F78" s="2">
        <v>46.86</v>
      </c>
      <c r="G78" s="2">
        <v>47.75</v>
      </c>
      <c r="H78" s="2">
        <v>53.75</v>
      </c>
      <c r="I78" s="2">
        <v>62.42</v>
      </c>
      <c r="J78" s="2">
        <v>52.69</v>
      </c>
      <c r="K78" s="2">
        <v>47.31</v>
      </c>
      <c r="L78" s="2" t="s">
        <v>29</v>
      </c>
      <c r="M78" s="2">
        <v>8979.68</v>
      </c>
      <c r="N78" s="2" t="str">
        <f t="shared" si="1"/>
        <v>Medium Risk</v>
      </c>
      <c r="O78" s="2" t="b">
        <f>AND(OR($D78=T1_Region,T1_Region="All Regions"),OR($E78=T1_Income,T1_Income="All Income Groups"))</f>
        <v>1</v>
      </c>
    </row>
    <row r="79" ht="15.0" customHeight="1">
      <c r="A79" s="2" t="s">
        <v>35</v>
      </c>
      <c r="B79" s="2" t="s">
        <v>36</v>
      </c>
      <c r="C79" s="2">
        <v>2018.0</v>
      </c>
      <c r="D79" s="2" t="s">
        <v>19</v>
      </c>
      <c r="E79" s="2" t="s">
        <v>13</v>
      </c>
      <c r="F79" s="2">
        <v>46.43</v>
      </c>
      <c r="G79" s="2">
        <v>48.01</v>
      </c>
      <c r="H79" s="2">
        <v>53.43</v>
      </c>
      <c r="I79" s="2">
        <v>61.85</v>
      </c>
      <c r="J79" s="2">
        <v>52.43</v>
      </c>
      <c r="K79" s="2">
        <v>47.57</v>
      </c>
      <c r="L79" s="2" t="s">
        <v>29</v>
      </c>
      <c r="M79" s="2">
        <v>10085.66</v>
      </c>
      <c r="N79" s="2" t="str">
        <f t="shared" si="1"/>
        <v>Medium Risk</v>
      </c>
      <c r="O79" s="2" t="b">
        <f>AND(OR($D79=T1_Region,T1_Region="All Regions"),OR($E79=T1_Income,T1_Income="All Income Groups"))</f>
        <v>1</v>
      </c>
    </row>
    <row r="80" ht="15.0" customHeight="1">
      <c r="A80" s="2" t="s">
        <v>35</v>
      </c>
      <c r="B80" s="2" t="s">
        <v>36</v>
      </c>
      <c r="C80" s="2">
        <v>2019.0</v>
      </c>
      <c r="D80" s="2" t="s">
        <v>19</v>
      </c>
      <c r="E80" s="2" t="s">
        <v>13</v>
      </c>
      <c r="F80" s="2">
        <v>46.85</v>
      </c>
      <c r="G80" s="2">
        <v>47.47</v>
      </c>
      <c r="H80" s="2">
        <v>53.89</v>
      </c>
      <c r="I80" s="2">
        <v>63.53</v>
      </c>
      <c r="J80" s="2">
        <v>52.93</v>
      </c>
      <c r="K80" s="2">
        <v>47.07</v>
      </c>
      <c r="L80" s="2" t="s">
        <v>29</v>
      </c>
      <c r="M80" s="2">
        <v>10342.9</v>
      </c>
      <c r="N80" s="2" t="str">
        <f t="shared" si="1"/>
        <v>Medium Risk</v>
      </c>
      <c r="O80" s="2" t="b">
        <f>AND(OR($D80=T1_Region,T1_Region="All Regions"),OR($E80=T1_Income,T1_Income="All Income Groups"))</f>
        <v>1</v>
      </c>
    </row>
    <row r="81" ht="15.0" customHeight="1">
      <c r="A81" s="2" t="s">
        <v>35</v>
      </c>
      <c r="B81" s="2" t="s">
        <v>36</v>
      </c>
      <c r="C81" s="2">
        <v>2020.0</v>
      </c>
      <c r="D81" s="2" t="s">
        <v>19</v>
      </c>
      <c r="E81" s="2" t="s">
        <v>13</v>
      </c>
      <c r="F81" s="2">
        <v>48.93</v>
      </c>
      <c r="G81" s="2">
        <v>48.2</v>
      </c>
      <c r="H81" s="2">
        <v>53.81</v>
      </c>
      <c r="I81" s="2">
        <v>60.72</v>
      </c>
      <c r="J81" s="2">
        <v>52.92</v>
      </c>
      <c r="K81" s="2">
        <v>47.08</v>
      </c>
      <c r="L81" s="2" t="s">
        <v>29</v>
      </c>
      <c r="M81" s="2">
        <v>10627.46</v>
      </c>
      <c r="N81" s="2" t="str">
        <f t="shared" si="1"/>
        <v>Medium Risk</v>
      </c>
      <c r="O81" s="2" t="b">
        <f>AND(OR($D81=T1_Region,T1_Region="All Regions"),OR($E81=T1_Income,T1_Income="All Income Groups"))</f>
        <v>1</v>
      </c>
    </row>
    <row r="82" ht="15.0" customHeight="1">
      <c r="A82" s="2" t="s">
        <v>35</v>
      </c>
      <c r="B82" s="2" t="s">
        <v>36</v>
      </c>
      <c r="C82" s="2">
        <v>2021.0</v>
      </c>
      <c r="D82" s="2" t="s">
        <v>19</v>
      </c>
      <c r="E82" s="2" t="s">
        <v>13</v>
      </c>
      <c r="F82" s="2">
        <v>48.98</v>
      </c>
      <c r="G82" s="2">
        <v>47.69</v>
      </c>
      <c r="H82" s="2">
        <v>54.47</v>
      </c>
      <c r="I82" s="2">
        <v>61.47</v>
      </c>
      <c r="J82" s="2">
        <v>53.15</v>
      </c>
      <c r="K82" s="2">
        <v>46.85</v>
      </c>
      <c r="L82" s="2" t="s">
        <v>29</v>
      </c>
      <c r="M82" s="2">
        <v>12887.44</v>
      </c>
      <c r="N82" s="2" t="str">
        <f t="shared" si="1"/>
        <v>Medium Risk</v>
      </c>
      <c r="O82" s="2" t="b">
        <f>AND(OR($D82=T1_Region,T1_Region="All Regions"),OR($E82=T1_Income,T1_Income="All Income Groups"))</f>
        <v>1</v>
      </c>
    </row>
    <row r="83" ht="15.0" customHeight="1">
      <c r="A83" s="2" t="s">
        <v>35</v>
      </c>
      <c r="B83" s="2" t="s">
        <v>36</v>
      </c>
      <c r="C83" s="2">
        <v>2022.0</v>
      </c>
      <c r="D83" s="2" t="s">
        <v>19</v>
      </c>
      <c r="E83" s="2" t="s">
        <v>13</v>
      </c>
      <c r="F83" s="2">
        <v>48.73</v>
      </c>
      <c r="G83" s="2">
        <v>47.26</v>
      </c>
      <c r="H83" s="2">
        <v>53.43</v>
      </c>
      <c r="I83" s="2">
        <v>61.64</v>
      </c>
      <c r="J83" s="2">
        <v>52.77</v>
      </c>
      <c r="K83" s="2">
        <v>47.23</v>
      </c>
      <c r="L83" s="2" t="s">
        <v>29</v>
      </c>
      <c r="M83" s="2">
        <v>12970.61</v>
      </c>
      <c r="N83" s="2" t="str">
        <f t="shared" si="1"/>
        <v>Medium Risk</v>
      </c>
      <c r="O83" s="2" t="b">
        <f>AND(OR($D83=T1_Region,T1_Region="All Regions"),OR($E83=T1_Income,T1_Income="All Income Groups"))</f>
        <v>1</v>
      </c>
    </row>
    <row r="84" ht="15.0" customHeight="1">
      <c r="A84" s="2" t="s">
        <v>35</v>
      </c>
      <c r="B84" s="2" t="s">
        <v>36</v>
      </c>
      <c r="C84" s="2">
        <v>2023.0</v>
      </c>
      <c r="D84" s="2" t="s">
        <v>19</v>
      </c>
      <c r="E84" s="2" t="s">
        <v>13</v>
      </c>
      <c r="F84" s="2">
        <v>50.16</v>
      </c>
      <c r="G84" s="2">
        <v>47.46</v>
      </c>
      <c r="H84" s="2">
        <v>53.57</v>
      </c>
      <c r="I84" s="2">
        <v>62.91</v>
      </c>
      <c r="J84" s="2">
        <v>53.53</v>
      </c>
      <c r="K84" s="2">
        <v>46.47</v>
      </c>
      <c r="L84" s="2" t="s">
        <v>29</v>
      </c>
      <c r="M84" s="2">
        <v>12951.18</v>
      </c>
      <c r="N84" s="2" t="str">
        <f t="shared" si="1"/>
        <v>Medium Risk</v>
      </c>
      <c r="O84" s="2" t="b">
        <f>AND(OR($D84=T1_Region,T1_Region="All Regions"),OR($E84=T1_Income,T1_Income="All Income Groups"))</f>
        <v>1</v>
      </c>
    </row>
    <row r="85" ht="15.0" customHeight="1">
      <c r="A85" s="2" t="s">
        <v>35</v>
      </c>
      <c r="B85" s="2" t="s">
        <v>36</v>
      </c>
      <c r="C85" s="2">
        <v>2024.0</v>
      </c>
      <c r="D85" s="2" t="s">
        <v>19</v>
      </c>
      <c r="E85" s="2" t="s">
        <v>13</v>
      </c>
      <c r="F85" s="2">
        <v>49.65</v>
      </c>
      <c r="G85" s="2">
        <v>46.99</v>
      </c>
      <c r="H85" s="2">
        <v>53.74</v>
      </c>
      <c r="I85" s="2">
        <v>63.28</v>
      </c>
      <c r="J85" s="2">
        <v>53.41</v>
      </c>
      <c r="K85" s="2">
        <v>46.59</v>
      </c>
      <c r="L85" s="2" t="s">
        <v>29</v>
      </c>
      <c r="M85" s="2">
        <v>13293.12</v>
      </c>
      <c r="N85" s="2" t="str">
        <f t="shared" si="1"/>
        <v>Medium Risk</v>
      </c>
      <c r="O85" s="2" t="b">
        <f>AND(OR($D85=T1_Region,T1_Region="All Regions"),OR($E85=T1_Income,T1_Income="All Income Groups"))</f>
        <v>1</v>
      </c>
    </row>
    <row r="86" ht="15.0" customHeight="1">
      <c r="A86" s="2" t="s">
        <v>37</v>
      </c>
      <c r="B86" s="2" t="s">
        <v>38</v>
      </c>
      <c r="C86" s="2">
        <v>2013.0</v>
      </c>
      <c r="D86" s="2" t="s">
        <v>11</v>
      </c>
      <c r="E86" s="2" t="s">
        <v>13</v>
      </c>
      <c r="F86" s="2">
        <v>38.92</v>
      </c>
      <c r="G86" s="2">
        <v>48.64</v>
      </c>
      <c r="H86" s="2">
        <v>58.59</v>
      </c>
      <c r="I86" s="2">
        <v>43.7</v>
      </c>
      <c r="J86" s="2">
        <v>47.46</v>
      </c>
      <c r="K86" s="2">
        <v>52.54</v>
      </c>
      <c r="L86" s="2" t="s">
        <v>29</v>
      </c>
      <c r="M86" s="2">
        <v>8279.1</v>
      </c>
      <c r="N86" s="2" t="str">
        <f t="shared" si="1"/>
        <v>Medium Risk</v>
      </c>
      <c r="O86" s="2" t="b">
        <f>AND(OR($D86=T1_Region,T1_Region="All Regions"),OR($E86=T1_Income,T1_Income="All Income Groups"))</f>
        <v>1</v>
      </c>
    </row>
    <row r="87" ht="15.0" customHeight="1">
      <c r="A87" s="2" t="s">
        <v>37</v>
      </c>
      <c r="B87" s="2" t="s">
        <v>38</v>
      </c>
      <c r="C87" s="2">
        <v>2014.0</v>
      </c>
      <c r="D87" s="2" t="s">
        <v>11</v>
      </c>
      <c r="E87" s="2" t="s">
        <v>13</v>
      </c>
      <c r="F87" s="2">
        <v>40.34</v>
      </c>
      <c r="G87" s="2">
        <v>49.88</v>
      </c>
      <c r="H87" s="2">
        <v>58.9</v>
      </c>
      <c r="I87" s="2">
        <v>48.89</v>
      </c>
      <c r="J87" s="2">
        <v>49.5</v>
      </c>
      <c r="K87" s="2">
        <v>50.5</v>
      </c>
      <c r="L87" s="2" t="s">
        <v>29</v>
      </c>
      <c r="M87" s="2">
        <v>8187.21</v>
      </c>
      <c r="N87" s="2" t="str">
        <f t="shared" si="1"/>
        <v>Medium Risk</v>
      </c>
      <c r="O87" s="2" t="b">
        <f>AND(OR($D87=T1_Region,T1_Region="All Regions"),OR($E87=T1_Income,T1_Income="All Income Groups"))</f>
        <v>1</v>
      </c>
    </row>
    <row r="88" ht="15.0" customHeight="1">
      <c r="A88" s="2" t="s">
        <v>37</v>
      </c>
      <c r="B88" s="2" t="s">
        <v>38</v>
      </c>
      <c r="C88" s="2">
        <v>2015.0</v>
      </c>
      <c r="D88" s="2" t="s">
        <v>11</v>
      </c>
      <c r="E88" s="2" t="s">
        <v>13</v>
      </c>
      <c r="F88" s="2">
        <v>41.43</v>
      </c>
      <c r="G88" s="2">
        <v>50.09</v>
      </c>
      <c r="H88" s="2">
        <v>59.74</v>
      </c>
      <c r="I88" s="2">
        <v>49.57</v>
      </c>
      <c r="J88" s="2">
        <v>50.21</v>
      </c>
      <c r="K88" s="2">
        <v>49.79</v>
      </c>
      <c r="L88" s="2" t="s">
        <v>29</v>
      </c>
      <c r="M88" s="2">
        <v>6248.51</v>
      </c>
      <c r="N88" s="2" t="str">
        <f t="shared" si="1"/>
        <v>Medium Risk</v>
      </c>
      <c r="O88" s="2" t="b">
        <f>AND(OR($D88=T1_Region,T1_Region="All Regions"),OR($E88=T1_Income,T1_Income="All Income Groups"))</f>
        <v>1</v>
      </c>
    </row>
    <row r="89" ht="15.0" customHeight="1">
      <c r="A89" s="2" t="s">
        <v>37</v>
      </c>
      <c r="B89" s="2" t="s">
        <v>38</v>
      </c>
      <c r="C89" s="2">
        <v>2016.0</v>
      </c>
      <c r="D89" s="2" t="s">
        <v>11</v>
      </c>
      <c r="E89" s="2" t="s">
        <v>13</v>
      </c>
      <c r="F89" s="2">
        <v>40.38</v>
      </c>
      <c r="G89" s="2">
        <v>50.96</v>
      </c>
      <c r="H89" s="2">
        <v>59.17</v>
      </c>
      <c r="I89" s="2">
        <v>50.97</v>
      </c>
      <c r="J89" s="2">
        <v>50.37</v>
      </c>
      <c r="K89" s="2">
        <v>49.63</v>
      </c>
      <c r="L89" s="2" t="s">
        <v>29</v>
      </c>
      <c r="M89" s="2">
        <v>5959.84</v>
      </c>
      <c r="N89" s="2" t="str">
        <f t="shared" si="1"/>
        <v>Medium Risk</v>
      </c>
      <c r="O89" s="2" t="b">
        <f>AND(OR($D89=T1_Region,T1_Region="All Regions"),OR($E89=T1_Income,T1_Income="All Income Groups"))</f>
        <v>1</v>
      </c>
    </row>
    <row r="90" ht="15.0" customHeight="1">
      <c r="A90" s="2" t="s">
        <v>37</v>
      </c>
      <c r="B90" s="2" t="s">
        <v>38</v>
      </c>
      <c r="C90" s="2">
        <v>2017.0</v>
      </c>
      <c r="D90" s="2" t="s">
        <v>11</v>
      </c>
      <c r="E90" s="2" t="s">
        <v>13</v>
      </c>
      <c r="F90" s="2">
        <v>39.54</v>
      </c>
      <c r="G90" s="2">
        <v>50.68</v>
      </c>
      <c r="H90" s="2">
        <v>57.52</v>
      </c>
      <c r="I90" s="2">
        <v>52.57</v>
      </c>
      <c r="J90" s="2">
        <v>50.08</v>
      </c>
      <c r="K90" s="2">
        <v>49.92</v>
      </c>
      <c r="L90" s="2" t="s">
        <v>29</v>
      </c>
      <c r="M90" s="2">
        <v>6479.53</v>
      </c>
      <c r="N90" s="2" t="str">
        <f t="shared" si="1"/>
        <v>Medium Risk</v>
      </c>
      <c r="O90" s="2" t="b">
        <f>AND(OR($D90=T1_Region,T1_Region="All Regions"),OR($E90=T1_Income,T1_Income="All Income Groups"))</f>
        <v>1</v>
      </c>
    </row>
    <row r="91" ht="15.0" customHeight="1">
      <c r="A91" s="2" t="s">
        <v>37</v>
      </c>
      <c r="B91" s="2" t="s">
        <v>38</v>
      </c>
      <c r="C91" s="2">
        <v>2018.0</v>
      </c>
      <c r="D91" s="2" t="s">
        <v>11</v>
      </c>
      <c r="E91" s="2" t="s">
        <v>13</v>
      </c>
      <c r="F91" s="2">
        <v>41.41</v>
      </c>
      <c r="G91" s="2">
        <v>49.7</v>
      </c>
      <c r="H91" s="2">
        <v>56.58</v>
      </c>
      <c r="I91" s="2">
        <v>54.53</v>
      </c>
      <c r="J91" s="2">
        <v>50.55</v>
      </c>
      <c r="K91" s="2">
        <v>49.45</v>
      </c>
      <c r="L91" s="2" t="s">
        <v>29</v>
      </c>
      <c r="M91" s="2">
        <v>6816.97</v>
      </c>
      <c r="N91" s="2" t="str">
        <f t="shared" si="1"/>
        <v>Medium Risk</v>
      </c>
      <c r="O91" s="2" t="b">
        <f>AND(OR($D91=T1_Region,T1_Region="All Regions"),OR($E91=T1_Income,T1_Income="All Income Groups"))</f>
        <v>1</v>
      </c>
    </row>
    <row r="92" ht="15.0" customHeight="1">
      <c r="A92" s="2" t="s">
        <v>37</v>
      </c>
      <c r="B92" s="2" t="s">
        <v>38</v>
      </c>
      <c r="C92" s="2">
        <v>2019.0</v>
      </c>
      <c r="D92" s="2" t="s">
        <v>11</v>
      </c>
      <c r="E92" s="2" t="s">
        <v>13</v>
      </c>
      <c r="F92" s="2">
        <v>42.34</v>
      </c>
      <c r="G92" s="2">
        <v>49.17</v>
      </c>
      <c r="H92" s="2">
        <v>58.53</v>
      </c>
      <c r="I92" s="2">
        <v>50.43</v>
      </c>
      <c r="J92" s="2">
        <v>50.12</v>
      </c>
      <c r="K92" s="2">
        <v>49.88</v>
      </c>
      <c r="L92" s="2" t="s">
        <v>29</v>
      </c>
      <c r="M92" s="2">
        <v>6472.55</v>
      </c>
      <c r="N92" s="2" t="str">
        <f t="shared" si="1"/>
        <v>Medium Risk</v>
      </c>
      <c r="O92" s="2" t="b">
        <f>AND(OR($D92=T1_Region,T1_Region="All Regions"),OR($E92=T1_Income,T1_Income="All Income Groups"))</f>
        <v>1</v>
      </c>
    </row>
    <row r="93" ht="15.0" customHeight="1">
      <c r="A93" s="2" t="s">
        <v>37</v>
      </c>
      <c r="B93" s="2" t="s">
        <v>38</v>
      </c>
      <c r="C93" s="2">
        <v>2020.0</v>
      </c>
      <c r="D93" s="2" t="s">
        <v>11</v>
      </c>
      <c r="E93" s="2" t="s">
        <v>13</v>
      </c>
      <c r="F93" s="2">
        <v>42.66</v>
      </c>
      <c r="G93" s="2">
        <v>48.66</v>
      </c>
      <c r="H93" s="2">
        <v>57.4</v>
      </c>
      <c r="I93" s="2">
        <v>54.25</v>
      </c>
      <c r="J93" s="2">
        <v>50.74</v>
      </c>
      <c r="K93" s="2">
        <v>49.26</v>
      </c>
      <c r="L93" s="2" t="s">
        <v>29</v>
      </c>
      <c r="M93" s="2">
        <v>5339.69</v>
      </c>
      <c r="N93" s="2" t="str">
        <f t="shared" si="1"/>
        <v>Medium Risk</v>
      </c>
      <c r="O93" s="2" t="b">
        <f>AND(OR($D93=T1_Region,T1_Region="All Regions"),OR($E93=T1_Income,T1_Income="All Income Groups"))</f>
        <v>1</v>
      </c>
    </row>
    <row r="94" ht="15.0" customHeight="1">
      <c r="A94" s="2" t="s">
        <v>37</v>
      </c>
      <c r="B94" s="2" t="s">
        <v>38</v>
      </c>
      <c r="C94" s="2">
        <v>2021.0</v>
      </c>
      <c r="D94" s="2" t="s">
        <v>11</v>
      </c>
      <c r="E94" s="2" t="s">
        <v>13</v>
      </c>
      <c r="F94" s="2">
        <v>42.39</v>
      </c>
      <c r="G94" s="2">
        <v>48.24</v>
      </c>
      <c r="H94" s="2">
        <v>58.59</v>
      </c>
      <c r="I94" s="2">
        <v>48.56</v>
      </c>
      <c r="J94" s="2">
        <v>49.45</v>
      </c>
      <c r="K94" s="2">
        <v>50.55</v>
      </c>
      <c r="L94" s="2" t="s">
        <v>29</v>
      </c>
      <c r="M94" s="2">
        <v>6222.62</v>
      </c>
      <c r="N94" s="2" t="str">
        <f t="shared" si="1"/>
        <v>Medium Risk</v>
      </c>
      <c r="O94" s="2" t="b">
        <f>AND(OR($D94=T1_Region,T1_Region="All Regions"),OR($E94=T1_Income,T1_Income="All Income Groups"))</f>
        <v>1</v>
      </c>
    </row>
    <row r="95" ht="15.0" customHeight="1">
      <c r="A95" s="2" t="s">
        <v>37</v>
      </c>
      <c r="B95" s="2" t="s">
        <v>38</v>
      </c>
      <c r="C95" s="2">
        <v>2022.0</v>
      </c>
      <c r="D95" s="2" t="s">
        <v>11</v>
      </c>
      <c r="E95" s="2" t="s">
        <v>13</v>
      </c>
      <c r="F95" s="2">
        <v>42.66</v>
      </c>
      <c r="G95" s="2">
        <v>47.85</v>
      </c>
      <c r="H95" s="2">
        <v>57.8</v>
      </c>
      <c r="I95" s="2">
        <v>52.07</v>
      </c>
      <c r="J95" s="2">
        <v>50.1</v>
      </c>
      <c r="K95" s="2">
        <v>49.9</v>
      </c>
      <c r="L95" s="2" t="s">
        <v>29</v>
      </c>
      <c r="M95" s="2">
        <v>6680.45</v>
      </c>
      <c r="N95" s="2" t="str">
        <f t="shared" si="1"/>
        <v>Medium Risk</v>
      </c>
      <c r="O95" s="2" t="b">
        <f>AND(OR($D95=T1_Region,T1_Region="All Regions"),OR($E95=T1_Income,T1_Income="All Income Groups"))</f>
        <v>1</v>
      </c>
    </row>
    <row r="96" ht="15.0" customHeight="1">
      <c r="A96" s="2" t="s">
        <v>37</v>
      </c>
      <c r="B96" s="2" t="s">
        <v>38</v>
      </c>
      <c r="C96" s="2">
        <v>2023.0</v>
      </c>
      <c r="D96" s="2" t="s">
        <v>11</v>
      </c>
      <c r="E96" s="2" t="s">
        <v>13</v>
      </c>
      <c r="F96" s="2">
        <v>41.6</v>
      </c>
      <c r="G96" s="2">
        <v>47.24</v>
      </c>
      <c r="H96" s="2">
        <v>57.02</v>
      </c>
      <c r="I96" s="2">
        <v>52.24</v>
      </c>
      <c r="J96" s="2">
        <v>49.52</v>
      </c>
      <c r="K96" s="2">
        <v>50.48</v>
      </c>
      <c r="L96" s="2" t="s">
        <v>29</v>
      </c>
      <c r="M96" s="2">
        <v>7012.49</v>
      </c>
      <c r="N96" s="2" t="str">
        <f t="shared" si="1"/>
        <v>Medium Risk</v>
      </c>
      <c r="O96" s="2" t="b">
        <f>AND(OR($D96=T1_Region,T1_Region="All Regions"),OR($E96=T1_Income,T1_Income="All Income Groups"))</f>
        <v>1</v>
      </c>
    </row>
    <row r="97" ht="15.0" customHeight="1">
      <c r="A97" s="2" t="s">
        <v>37</v>
      </c>
      <c r="B97" s="2" t="s">
        <v>38</v>
      </c>
      <c r="C97" s="2">
        <v>2024.0</v>
      </c>
      <c r="D97" s="2" t="s">
        <v>11</v>
      </c>
      <c r="E97" s="2" t="s">
        <v>13</v>
      </c>
      <c r="F97" s="2">
        <v>41.91</v>
      </c>
      <c r="G97" s="2">
        <v>47.33</v>
      </c>
      <c r="H97" s="2">
        <v>55.07</v>
      </c>
      <c r="I97" s="2">
        <v>49.31</v>
      </c>
      <c r="J97" s="2">
        <v>48.41</v>
      </c>
      <c r="K97" s="2">
        <v>51.59</v>
      </c>
      <c r="L97" s="2" t="s">
        <v>29</v>
      </c>
      <c r="M97" s="2">
        <v>7951.09</v>
      </c>
      <c r="N97" s="2" t="str">
        <f t="shared" si="1"/>
        <v>Medium Risk</v>
      </c>
      <c r="O97" s="2" t="b">
        <f>AND(OR($D97=T1_Region,T1_Region="All Regions"),OR($E97=T1_Income,T1_Income="All Income Groups"))</f>
        <v>1</v>
      </c>
    </row>
    <row r="98" ht="15.0" customHeight="1">
      <c r="A98" s="2" t="s">
        <v>39</v>
      </c>
      <c r="B98" s="2" t="s">
        <v>40</v>
      </c>
      <c r="C98" s="2">
        <v>2013.0</v>
      </c>
      <c r="D98" s="2" t="s">
        <v>41</v>
      </c>
      <c r="E98" s="2" t="s">
        <v>42</v>
      </c>
      <c r="F98" s="2">
        <v>20.11</v>
      </c>
      <c r="G98" s="2">
        <v>29.15</v>
      </c>
      <c r="H98" s="2">
        <v>35.19</v>
      </c>
      <c r="I98" s="2">
        <v>27.88</v>
      </c>
      <c r="J98" s="2">
        <v>28.08</v>
      </c>
      <c r="K98" s="2">
        <v>71.92</v>
      </c>
      <c r="L98" s="2" t="s">
        <v>29</v>
      </c>
      <c r="M98" s="2">
        <v>460.37</v>
      </c>
      <c r="N98" s="2" t="str">
        <f t="shared" si="1"/>
        <v>High Risk</v>
      </c>
      <c r="O98" s="2" t="b">
        <f>AND(OR($D98=T1_Region,T1_Region="All Regions"),OR($E98=T1_Income,T1_Income="All Income Groups"))</f>
        <v>1</v>
      </c>
    </row>
    <row r="99" ht="15.0" customHeight="1">
      <c r="A99" s="2" t="s">
        <v>39</v>
      </c>
      <c r="B99" s="2" t="s">
        <v>40</v>
      </c>
      <c r="C99" s="2">
        <v>2014.0</v>
      </c>
      <c r="D99" s="2" t="s">
        <v>41</v>
      </c>
      <c r="E99" s="2" t="s">
        <v>42</v>
      </c>
      <c r="F99" s="2">
        <v>18.76</v>
      </c>
      <c r="G99" s="2">
        <v>30.27</v>
      </c>
      <c r="H99" s="2">
        <v>35.63</v>
      </c>
      <c r="I99" s="2">
        <v>27.49</v>
      </c>
      <c r="J99" s="2">
        <v>28.04</v>
      </c>
      <c r="K99" s="2">
        <v>71.96</v>
      </c>
      <c r="L99" s="2" t="s">
        <v>29</v>
      </c>
      <c r="M99" s="2">
        <v>489.18</v>
      </c>
      <c r="N99" s="2" t="str">
        <f t="shared" si="1"/>
        <v>High Risk</v>
      </c>
      <c r="O99" s="2" t="b">
        <f>AND(OR($D99=T1_Region,T1_Region="All Regions"),OR($E99=T1_Income,T1_Income="All Income Groups"))</f>
        <v>1</v>
      </c>
    </row>
    <row r="100" ht="15.0" customHeight="1">
      <c r="A100" s="2" t="s">
        <v>39</v>
      </c>
      <c r="B100" s="2" t="s">
        <v>40</v>
      </c>
      <c r="C100" s="2">
        <v>2015.0</v>
      </c>
      <c r="D100" s="2" t="s">
        <v>41</v>
      </c>
      <c r="E100" s="2" t="s">
        <v>42</v>
      </c>
      <c r="F100" s="2">
        <v>19.65</v>
      </c>
      <c r="G100" s="2">
        <v>29.94</v>
      </c>
      <c r="H100" s="2">
        <v>34.91</v>
      </c>
      <c r="I100" s="2">
        <v>31.55</v>
      </c>
      <c r="J100" s="2">
        <v>29.01</v>
      </c>
      <c r="K100" s="2">
        <v>70.99</v>
      </c>
      <c r="L100" s="2" t="s">
        <v>29</v>
      </c>
      <c r="M100" s="2">
        <v>495.83</v>
      </c>
      <c r="N100" s="2" t="str">
        <f t="shared" si="1"/>
        <v>High Risk</v>
      </c>
      <c r="O100" s="2" t="b">
        <f>AND(OR($D100=T1_Region,T1_Region="All Regions"),OR($E100=T1_Income,T1_Income="All Income Groups"))</f>
        <v>1</v>
      </c>
    </row>
    <row r="101" ht="15.0" customHeight="1">
      <c r="A101" s="2" t="s">
        <v>39</v>
      </c>
      <c r="B101" s="2" t="s">
        <v>40</v>
      </c>
      <c r="C101" s="2">
        <v>2016.0</v>
      </c>
      <c r="D101" s="2" t="s">
        <v>41</v>
      </c>
      <c r="E101" s="2" t="s">
        <v>42</v>
      </c>
      <c r="F101" s="2">
        <v>19.13</v>
      </c>
      <c r="G101" s="2">
        <v>30.68</v>
      </c>
      <c r="H101" s="2">
        <v>35.82</v>
      </c>
      <c r="I101" s="2">
        <v>27.99</v>
      </c>
      <c r="J101" s="2">
        <v>28.41</v>
      </c>
      <c r="K101" s="2">
        <v>71.59</v>
      </c>
      <c r="L101" s="2" t="s">
        <v>29</v>
      </c>
      <c r="M101" s="2">
        <v>459.77</v>
      </c>
      <c r="N101" s="2" t="str">
        <f t="shared" si="1"/>
        <v>High Risk</v>
      </c>
      <c r="O101" s="2" t="b">
        <f>AND(OR($D101=T1_Region,T1_Region="All Regions"),OR($E101=T1_Income,T1_Income="All Income Groups"))</f>
        <v>1</v>
      </c>
    </row>
    <row r="102" ht="15.0" customHeight="1">
      <c r="A102" s="2" t="s">
        <v>39</v>
      </c>
      <c r="B102" s="2" t="s">
        <v>40</v>
      </c>
      <c r="C102" s="2">
        <v>2017.0</v>
      </c>
      <c r="D102" s="2" t="s">
        <v>41</v>
      </c>
      <c r="E102" s="2" t="s">
        <v>42</v>
      </c>
      <c r="F102" s="2">
        <v>18.83</v>
      </c>
      <c r="G102" s="2">
        <v>29.43</v>
      </c>
      <c r="H102" s="2">
        <v>34.65</v>
      </c>
      <c r="I102" s="2">
        <v>27.23</v>
      </c>
      <c r="J102" s="2">
        <v>27.54</v>
      </c>
      <c r="K102" s="2">
        <v>72.46</v>
      </c>
      <c r="L102" s="2" t="s">
        <v>29</v>
      </c>
      <c r="M102" s="2">
        <v>431.05</v>
      </c>
      <c r="N102" s="2" t="str">
        <f t="shared" si="1"/>
        <v>High Risk</v>
      </c>
      <c r="O102" s="2" t="b">
        <f>AND(OR($D102=T1_Region,T1_Region="All Regions"),OR($E102=T1_Income,T1_Income="All Income Groups"))</f>
        <v>1</v>
      </c>
    </row>
    <row r="103" ht="15.0" customHeight="1">
      <c r="A103" s="2" t="s">
        <v>39</v>
      </c>
      <c r="B103" s="2" t="s">
        <v>40</v>
      </c>
      <c r="C103" s="2">
        <v>2018.0</v>
      </c>
      <c r="D103" s="2" t="s">
        <v>41</v>
      </c>
      <c r="E103" s="2" t="s">
        <v>42</v>
      </c>
      <c r="F103" s="2">
        <v>16.85</v>
      </c>
      <c r="G103" s="2">
        <v>28.45</v>
      </c>
      <c r="H103" s="2">
        <v>34.43</v>
      </c>
      <c r="I103" s="2">
        <v>33.5</v>
      </c>
      <c r="J103" s="2">
        <v>28.31</v>
      </c>
      <c r="K103" s="2">
        <v>71.69</v>
      </c>
      <c r="L103" s="2" t="s">
        <v>29</v>
      </c>
      <c r="M103" s="2">
        <v>518.17</v>
      </c>
      <c r="N103" s="2" t="str">
        <f t="shared" si="1"/>
        <v>High Risk</v>
      </c>
      <c r="O103" s="2" t="b">
        <f>AND(OR($D103=T1_Region,T1_Region="All Regions"),OR($E103=T1_Income,T1_Income="All Income Groups"))</f>
        <v>1</v>
      </c>
    </row>
    <row r="104" ht="15.0" customHeight="1">
      <c r="A104" s="2" t="s">
        <v>39</v>
      </c>
      <c r="B104" s="2" t="s">
        <v>40</v>
      </c>
      <c r="C104" s="2">
        <v>2019.0</v>
      </c>
      <c r="D104" s="2" t="s">
        <v>41</v>
      </c>
      <c r="E104" s="2" t="s">
        <v>42</v>
      </c>
      <c r="F104" s="2">
        <v>16.34</v>
      </c>
      <c r="G104" s="2">
        <v>28.58</v>
      </c>
      <c r="H104" s="2">
        <v>33.35</v>
      </c>
      <c r="I104" s="2">
        <v>37.76</v>
      </c>
      <c r="J104" s="2">
        <v>29.01</v>
      </c>
      <c r="K104" s="2">
        <v>70.99</v>
      </c>
      <c r="L104" s="2" t="s">
        <v>29</v>
      </c>
      <c r="M104" s="2">
        <v>504.0</v>
      </c>
      <c r="N104" s="2" t="str">
        <f t="shared" si="1"/>
        <v>High Risk</v>
      </c>
      <c r="O104" s="2" t="b">
        <f>AND(OR($D104=T1_Region,T1_Region="All Regions"),OR($E104=T1_Income,T1_Income="All Income Groups"))</f>
        <v>1</v>
      </c>
    </row>
    <row r="105" ht="15.0" customHeight="1">
      <c r="A105" s="2" t="s">
        <v>39</v>
      </c>
      <c r="B105" s="2" t="s">
        <v>40</v>
      </c>
      <c r="C105" s="2">
        <v>2020.0</v>
      </c>
      <c r="D105" s="2" t="s">
        <v>41</v>
      </c>
      <c r="E105" s="2" t="s">
        <v>42</v>
      </c>
      <c r="F105" s="2">
        <v>18.36</v>
      </c>
      <c r="G105" s="2">
        <v>29.18</v>
      </c>
      <c r="H105" s="2">
        <v>33.28</v>
      </c>
      <c r="I105" s="2">
        <v>35.04</v>
      </c>
      <c r="J105" s="2">
        <v>28.96</v>
      </c>
      <c r="K105" s="2">
        <v>71.04</v>
      </c>
      <c r="L105" s="2" t="s">
        <v>29</v>
      </c>
      <c r="M105" s="2">
        <v>486.43</v>
      </c>
      <c r="N105" s="2" t="str">
        <f t="shared" si="1"/>
        <v>High Risk</v>
      </c>
      <c r="O105" s="2" t="b">
        <f>AND(OR($D105=T1_Region,T1_Region="All Regions"),OR($E105=T1_Income,T1_Income="All Income Groups"))</f>
        <v>1</v>
      </c>
    </row>
    <row r="106" ht="15.0" customHeight="1">
      <c r="A106" s="2" t="s">
        <v>39</v>
      </c>
      <c r="B106" s="2" t="s">
        <v>40</v>
      </c>
      <c r="C106" s="2">
        <v>2021.0</v>
      </c>
      <c r="D106" s="2" t="s">
        <v>41</v>
      </c>
      <c r="E106" s="2" t="s">
        <v>42</v>
      </c>
      <c r="F106" s="2">
        <v>17.41</v>
      </c>
      <c r="G106" s="2">
        <v>30.61</v>
      </c>
      <c r="H106" s="2">
        <v>34.0</v>
      </c>
      <c r="I106" s="2">
        <v>38.03</v>
      </c>
      <c r="J106" s="2">
        <v>30.01</v>
      </c>
      <c r="K106" s="2">
        <v>69.99</v>
      </c>
      <c r="L106" s="2" t="s">
        <v>29</v>
      </c>
      <c r="M106" s="2">
        <v>595.74</v>
      </c>
      <c r="N106" s="2" t="str">
        <f t="shared" si="1"/>
        <v>High Risk</v>
      </c>
      <c r="O106" s="2" t="b">
        <f>AND(OR($D106=T1_Region,T1_Region="All Regions"),OR($E106=T1_Income,T1_Income="All Income Groups"))</f>
        <v>1</v>
      </c>
    </row>
    <row r="107" ht="15.0" customHeight="1">
      <c r="A107" s="2" t="s">
        <v>39</v>
      </c>
      <c r="B107" s="2" t="s">
        <v>40</v>
      </c>
      <c r="C107" s="2">
        <v>2022.0</v>
      </c>
      <c r="D107" s="2" t="s">
        <v>41</v>
      </c>
      <c r="E107" s="2" t="s">
        <v>42</v>
      </c>
      <c r="F107" s="2">
        <v>17.28</v>
      </c>
      <c r="G107" s="2">
        <v>29.76</v>
      </c>
      <c r="H107" s="2">
        <v>34.24</v>
      </c>
      <c r="I107" s="2">
        <v>34.37</v>
      </c>
      <c r="J107" s="2">
        <v>28.91</v>
      </c>
      <c r="K107" s="2">
        <v>71.09</v>
      </c>
      <c r="L107" s="2" t="s">
        <v>29</v>
      </c>
      <c r="M107" s="2">
        <v>687.74</v>
      </c>
      <c r="N107" s="2" t="str">
        <f t="shared" si="1"/>
        <v>High Risk</v>
      </c>
      <c r="O107" s="2" t="b">
        <f>AND(OR($D107=T1_Region,T1_Region="All Regions"),OR($E107=T1_Income,T1_Income="All Income Groups"))</f>
        <v>1</v>
      </c>
    </row>
    <row r="108" ht="15.0" customHeight="1">
      <c r="A108" s="2" t="s">
        <v>39</v>
      </c>
      <c r="B108" s="2" t="s">
        <v>40</v>
      </c>
      <c r="C108" s="2">
        <v>2023.0</v>
      </c>
      <c r="D108" s="2" t="s">
        <v>41</v>
      </c>
      <c r="E108" s="2" t="s">
        <v>42</v>
      </c>
      <c r="F108" s="2">
        <v>17.71</v>
      </c>
      <c r="G108" s="2">
        <v>29.33</v>
      </c>
      <c r="H108" s="2">
        <v>35.02</v>
      </c>
      <c r="I108" s="2">
        <v>32.05</v>
      </c>
      <c r="J108" s="2">
        <v>28.53</v>
      </c>
      <c r="K108" s="2">
        <v>71.47</v>
      </c>
      <c r="L108" s="2" t="s">
        <v>29</v>
      </c>
      <c r="M108" s="2">
        <v>660.21</v>
      </c>
      <c r="N108" s="2" t="str">
        <f t="shared" si="1"/>
        <v>High Risk</v>
      </c>
      <c r="O108" s="2" t="b">
        <f>AND(OR($D108=T1_Region,T1_Region="All Regions"),OR($E108=T1_Income,T1_Income="All Income Groups"))</f>
        <v>1</v>
      </c>
    </row>
    <row r="109" ht="15.0" customHeight="1">
      <c r="A109" s="2" t="s">
        <v>39</v>
      </c>
      <c r="B109" s="2" t="s">
        <v>40</v>
      </c>
      <c r="C109" s="2">
        <v>2024.0</v>
      </c>
      <c r="D109" s="2" t="s">
        <v>41</v>
      </c>
      <c r="E109" s="2" t="s">
        <v>42</v>
      </c>
      <c r="F109" s="2">
        <v>17.18</v>
      </c>
      <c r="G109" s="2">
        <v>28.97</v>
      </c>
      <c r="H109" s="2">
        <v>34.6</v>
      </c>
      <c r="I109" s="2">
        <v>29.7</v>
      </c>
      <c r="J109" s="2">
        <v>27.61</v>
      </c>
      <c r="K109" s="2">
        <v>72.39</v>
      </c>
      <c r="L109" s="2" t="s">
        <v>29</v>
      </c>
      <c r="M109" s="2">
        <v>692.89</v>
      </c>
      <c r="N109" s="2" t="str">
        <f t="shared" si="1"/>
        <v>High Risk</v>
      </c>
      <c r="O109" s="2" t="b">
        <f>AND(OR($D109=T1_Region,T1_Region="All Regions"),OR($E109=T1_Income,T1_Income="All Income Groups"))</f>
        <v>1</v>
      </c>
    </row>
    <row r="110" ht="15.0" customHeight="1">
      <c r="A110" s="2" t="s">
        <v>43</v>
      </c>
      <c r="B110" s="2" t="s">
        <v>44</v>
      </c>
      <c r="C110" s="2">
        <v>2013.0</v>
      </c>
      <c r="D110" s="2" t="s">
        <v>45</v>
      </c>
      <c r="E110" s="2" t="s">
        <v>26</v>
      </c>
      <c r="F110" s="2">
        <v>36.4</v>
      </c>
      <c r="G110" s="2">
        <v>43.28</v>
      </c>
      <c r="H110" s="2">
        <v>43.21</v>
      </c>
      <c r="I110" s="2">
        <v>35.03</v>
      </c>
      <c r="J110" s="2">
        <v>39.48</v>
      </c>
      <c r="K110" s="2">
        <v>60.52</v>
      </c>
      <c r="L110" s="2" t="s">
        <v>29</v>
      </c>
      <c r="M110" s="2">
        <v>3025.53</v>
      </c>
      <c r="N110" s="2" t="str">
        <f t="shared" si="1"/>
        <v>Medium Risk</v>
      </c>
      <c r="O110" s="2" t="b">
        <f>AND(OR($D110=T1_Region,T1_Region="All Regions"),OR($E110=T1_Income,T1_Income="All Income Groups"))</f>
        <v>1</v>
      </c>
    </row>
    <row r="111" ht="15.0" customHeight="1">
      <c r="A111" s="2" t="s">
        <v>43</v>
      </c>
      <c r="B111" s="2" t="s">
        <v>44</v>
      </c>
      <c r="C111" s="2">
        <v>2014.0</v>
      </c>
      <c r="D111" s="2" t="s">
        <v>45</v>
      </c>
      <c r="E111" s="2" t="s">
        <v>26</v>
      </c>
      <c r="F111" s="2">
        <v>36.19</v>
      </c>
      <c r="G111" s="2">
        <v>42.51</v>
      </c>
      <c r="H111" s="2">
        <v>43.15</v>
      </c>
      <c r="I111" s="2">
        <v>40.12</v>
      </c>
      <c r="J111" s="2">
        <v>40.49</v>
      </c>
      <c r="K111" s="2">
        <v>59.51</v>
      </c>
      <c r="L111" s="2" t="s">
        <v>29</v>
      </c>
      <c r="M111" s="2">
        <v>3133.39</v>
      </c>
      <c r="N111" s="2" t="str">
        <f t="shared" si="1"/>
        <v>Medium Risk</v>
      </c>
      <c r="O111" s="2" t="b">
        <f>AND(OR($D111=T1_Region,T1_Region="All Regions"),OR($E111=T1_Income,T1_Income="All Income Groups"))</f>
        <v>1</v>
      </c>
    </row>
    <row r="112" ht="15.0" customHeight="1">
      <c r="A112" s="2" t="s">
        <v>43</v>
      </c>
      <c r="B112" s="2" t="s">
        <v>44</v>
      </c>
      <c r="C112" s="2">
        <v>2015.0</v>
      </c>
      <c r="D112" s="2" t="s">
        <v>45</v>
      </c>
      <c r="E112" s="2" t="s">
        <v>26</v>
      </c>
      <c r="F112" s="2">
        <v>36.44</v>
      </c>
      <c r="G112" s="2">
        <v>42.54</v>
      </c>
      <c r="H112" s="2">
        <v>43.25</v>
      </c>
      <c r="I112" s="2">
        <v>39.97</v>
      </c>
      <c r="J112" s="2">
        <v>40.55</v>
      </c>
      <c r="K112" s="2">
        <v>59.45</v>
      </c>
      <c r="L112" s="2" t="s">
        <v>29</v>
      </c>
      <c r="M112" s="2">
        <v>3306.98</v>
      </c>
      <c r="N112" s="2" t="str">
        <f t="shared" si="1"/>
        <v>Medium Risk</v>
      </c>
      <c r="O112" s="2" t="b">
        <f>AND(OR($D112=T1_Region,T1_Region="All Regions"),OR($E112=T1_Income,T1_Income="All Income Groups"))</f>
        <v>1</v>
      </c>
    </row>
    <row r="113" ht="15.0" customHeight="1">
      <c r="A113" s="2" t="s">
        <v>43</v>
      </c>
      <c r="B113" s="2" t="s">
        <v>44</v>
      </c>
      <c r="C113" s="2">
        <v>2016.0</v>
      </c>
      <c r="D113" s="2" t="s">
        <v>45</v>
      </c>
      <c r="E113" s="2" t="s">
        <v>26</v>
      </c>
      <c r="F113" s="2">
        <v>38.8</v>
      </c>
      <c r="G113" s="2">
        <v>42.43</v>
      </c>
      <c r="H113" s="2">
        <v>42.76</v>
      </c>
      <c r="I113" s="2">
        <v>39.59</v>
      </c>
      <c r="J113" s="2">
        <v>40.9</v>
      </c>
      <c r="K113" s="2">
        <v>59.1</v>
      </c>
      <c r="L113" s="2" t="s">
        <v>29</v>
      </c>
      <c r="M113" s="2">
        <v>3270.63</v>
      </c>
      <c r="N113" s="2" t="str">
        <f t="shared" si="1"/>
        <v>Medium Risk</v>
      </c>
      <c r="O113" s="2" t="b">
        <f>AND(OR($D113=T1_Region,T1_Region="All Regions"),OR($E113=T1_Income,T1_Income="All Income Groups"))</f>
        <v>1</v>
      </c>
    </row>
    <row r="114" ht="15.0" customHeight="1">
      <c r="A114" s="2" t="s">
        <v>43</v>
      </c>
      <c r="B114" s="2" t="s">
        <v>44</v>
      </c>
      <c r="C114" s="2">
        <v>2017.0</v>
      </c>
      <c r="D114" s="2" t="s">
        <v>45</v>
      </c>
      <c r="E114" s="2" t="s">
        <v>26</v>
      </c>
      <c r="F114" s="2">
        <v>39.64</v>
      </c>
      <c r="G114" s="2">
        <v>43.63</v>
      </c>
      <c r="H114" s="2">
        <v>43.69</v>
      </c>
      <c r="I114" s="2">
        <v>40.76</v>
      </c>
      <c r="J114" s="2">
        <v>41.93</v>
      </c>
      <c r="K114" s="2">
        <v>58.07</v>
      </c>
      <c r="L114" s="2" t="s">
        <v>29</v>
      </c>
      <c r="M114" s="2">
        <v>2395.1</v>
      </c>
      <c r="N114" s="2" t="str">
        <f t="shared" si="1"/>
        <v>Medium Risk</v>
      </c>
      <c r="O114" s="2" t="b">
        <f>AND(OR($D114=T1_Region,T1_Region="All Regions"),OR($E114=T1_Income,T1_Income="All Income Groups"))</f>
        <v>1</v>
      </c>
    </row>
    <row r="115" ht="15.0" customHeight="1">
      <c r="A115" s="2" t="s">
        <v>43</v>
      </c>
      <c r="B115" s="2" t="s">
        <v>44</v>
      </c>
      <c r="C115" s="2">
        <v>2018.0</v>
      </c>
      <c r="D115" s="2" t="s">
        <v>45</v>
      </c>
      <c r="E115" s="2" t="s">
        <v>26</v>
      </c>
      <c r="F115" s="2">
        <v>38.24</v>
      </c>
      <c r="G115" s="2">
        <v>44.23</v>
      </c>
      <c r="H115" s="2">
        <v>43.15</v>
      </c>
      <c r="I115" s="2">
        <v>44.34</v>
      </c>
      <c r="J115" s="2">
        <v>42.49</v>
      </c>
      <c r="K115" s="2">
        <v>57.51</v>
      </c>
      <c r="L115" s="2" t="s">
        <v>29</v>
      </c>
      <c r="M115" s="2">
        <v>2484.7</v>
      </c>
      <c r="N115" s="2" t="str">
        <f t="shared" si="1"/>
        <v>Medium Risk</v>
      </c>
      <c r="O115" s="2" t="b">
        <f>AND(OR($D115=T1_Region,T1_Region="All Regions"),OR($E115=T1_Income,T1_Income="All Income Groups"))</f>
        <v>1</v>
      </c>
    </row>
    <row r="116" ht="15.0" customHeight="1">
      <c r="A116" s="2" t="s">
        <v>43</v>
      </c>
      <c r="B116" s="2" t="s">
        <v>44</v>
      </c>
      <c r="C116" s="2">
        <v>2019.0</v>
      </c>
      <c r="D116" s="2" t="s">
        <v>45</v>
      </c>
      <c r="E116" s="2" t="s">
        <v>26</v>
      </c>
      <c r="F116" s="2">
        <v>34.66</v>
      </c>
      <c r="G116" s="2">
        <v>44.07</v>
      </c>
      <c r="H116" s="2">
        <v>43.78</v>
      </c>
      <c r="I116" s="2">
        <v>45.45</v>
      </c>
      <c r="J116" s="2">
        <v>41.99</v>
      </c>
      <c r="K116" s="2">
        <v>58.01</v>
      </c>
      <c r="L116" s="2" t="s">
        <v>29</v>
      </c>
      <c r="M116" s="2">
        <v>2962.99</v>
      </c>
      <c r="N116" s="2" t="str">
        <f t="shared" si="1"/>
        <v>Medium Risk</v>
      </c>
      <c r="O116" s="2" t="b">
        <f>AND(OR($D116=T1_Region,T1_Region="All Regions"),OR($E116=T1_Income,T1_Income="All Income Groups"))</f>
        <v>1</v>
      </c>
    </row>
    <row r="117" ht="15.0" customHeight="1">
      <c r="A117" s="2" t="s">
        <v>43</v>
      </c>
      <c r="B117" s="2" t="s">
        <v>44</v>
      </c>
      <c r="C117" s="2">
        <v>2020.0</v>
      </c>
      <c r="D117" s="2" t="s">
        <v>45</v>
      </c>
      <c r="E117" s="2" t="s">
        <v>26</v>
      </c>
      <c r="F117" s="2">
        <v>31.83</v>
      </c>
      <c r="G117" s="2">
        <v>43.37</v>
      </c>
      <c r="H117" s="2">
        <v>44.84</v>
      </c>
      <c r="I117" s="2">
        <v>46.81</v>
      </c>
      <c r="J117" s="2">
        <v>41.71</v>
      </c>
      <c r="K117" s="2">
        <v>58.29</v>
      </c>
      <c r="L117" s="2" t="s">
        <v>29</v>
      </c>
      <c r="M117" s="2">
        <v>3511.11</v>
      </c>
      <c r="N117" s="2" t="str">
        <f t="shared" si="1"/>
        <v>Medium Risk</v>
      </c>
      <c r="O117" s="2" t="b">
        <f>AND(OR($D117=T1_Region,T1_Region="All Regions"),OR($E117=T1_Income,T1_Income="All Income Groups"))</f>
        <v>1</v>
      </c>
    </row>
    <row r="118" ht="15.0" customHeight="1">
      <c r="A118" s="2" t="s">
        <v>43</v>
      </c>
      <c r="B118" s="2" t="s">
        <v>44</v>
      </c>
      <c r="C118" s="2">
        <v>2021.0</v>
      </c>
      <c r="D118" s="2" t="s">
        <v>45</v>
      </c>
      <c r="E118" s="2" t="s">
        <v>26</v>
      </c>
      <c r="F118" s="2">
        <v>31.92</v>
      </c>
      <c r="G118" s="2">
        <v>42.88</v>
      </c>
      <c r="H118" s="2">
        <v>45.87</v>
      </c>
      <c r="I118" s="2">
        <v>47.67</v>
      </c>
      <c r="J118" s="2">
        <v>42.08</v>
      </c>
      <c r="K118" s="2">
        <v>57.92</v>
      </c>
      <c r="L118" s="2" t="s">
        <v>29</v>
      </c>
      <c r="M118" s="2">
        <v>3827.35</v>
      </c>
      <c r="N118" s="2" t="str">
        <f t="shared" si="1"/>
        <v>Medium Risk</v>
      </c>
      <c r="O118" s="2" t="b">
        <f>AND(OR($D118=T1_Region,T1_Region="All Regions"),OR($E118=T1_Income,T1_Income="All Income Groups"))</f>
        <v>1</v>
      </c>
    </row>
    <row r="119" ht="15.0" customHeight="1">
      <c r="A119" s="2" t="s">
        <v>43</v>
      </c>
      <c r="B119" s="2" t="s">
        <v>44</v>
      </c>
      <c r="C119" s="2">
        <v>2022.0</v>
      </c>
      <c r="D119" s="2" t="s">
        <v>45</v>
      </c>
      <c r="E119" s="2" t="s">
        <v>26</v>
      </c>
      <c r="F119" s="2">
        <v>32.11</v>
      </c>
      <c r="G119" s="2">
        <v>43.66</v>
      </c>
      <c r="H119" s="2">
        <v>44.32</v>
      </c>
      <c r="I119" s="2">
        <v>49.59</v>
      </c>
      <c r="J119" s="2">
        <v>42.42</v>
      </c>
      <c r="K119" s="2">
        <v>57.58</v>
      </c>
      <c r="L119" s="2" t="s">
        <v>29</v>
      </c>
      <c r="M119" s="2">
        <v>4233.31</v>
      </c>
      <c r="N119" s="2" t="str">
        <f t="shared" si="1"/>
        <v>Medium Risk</v>
      </c>
      <c r="O119" s="2" t="b">
        <f>AND(OR($D119=T1_Region,T1_Region="All Regions"),OR($E119=T1_Income,T1_Income="All Income Groups"))</f>
        <v>1</v>
      </c>
    </row>
    <row r="120" ht="15.0" customHeight="1">
      <c r="A120" s="2" t="s">
        <v>43</v>
      </c>
      <c r="B120" s="2" t="s">
        <v>44</v>
      </c>
      <c r="C120" s="2">
        <v>2023.0</v>
      </c>
      <c r="D120" s="2" t="s">
        <v>45</v>
      </c>
      <c r="E120" s="2" t="s">
        <v>26</v>
      </c>
      <c r="F120" s="2">
        <v>31.32</v>
      </c>
      <c r="G120" s="2">
        <v>43.58</v>
      </c>
      <c r="H120" s="2">
        <v>45.82</v>
      </c>
      <c r="I120" s="2">
        <v>50.53</v>
      </c>
      <c r="J120" s="2">
        <v>42.81</v>
      </c>
      <c r="K120" s="2">
        <v>57.19</v>
      </c>
      <c r="L120" s="2" t="s">
        <v>29</v>
      </c>
      <c r="M120" s="2">
        <v>3456.79</v>
      </c>
      <c r="N120" s="2" t="str">
        <f t="shared" si="1"/>
        <v>Medium Risk</v>
      </c>
      <c r="O120" s="2" t="b">
        <f>AND(OR($D120=T1_Region,T1_Region="All Regions"),OR($E120=T1_Income,T1_Income="All Income Groups"))</f>
        <v>1</v>
      </c>
    </row>
    <row r="121" ht="15.0" customHeight="1">
      <c r="A121" s="2" t="s">
        <v>43</v>
      </c>
      <c r="B121" s="2" t="s">
        <v>44</v>
      </c>
      <c r="C121" s="2">
        <v>2024.0</v>
      </c>
      <c r="D121" s="2" t="s">
        <v>45</v>
      </c>
      <c r="E121" s="2" t="s">
        <v>26</v>
      </c>
      <c r="F121" s="2">
        <v>31.12</v>
      </c>
      <c r="G121" s="2">
        <v>44.03</v>
      </c>
      <c r="H121" s="2">
        <v>46.99</v>
      </c>
      <c r="I121" s="2">
        <v>49.19</v>
      </c>
      <c r="J121" s="2">
        <v>42.83</v>
      </c>
      <c r="K121" s="2">
        <v>57.17</v>
      </c>
      <c r="L121" s="2" t="s">
        <v>29</v>
      </c>
      <c r="M121" s="2">
        <v>3338.47</v>
      </c>
      <c r="N121" s="2" t="str">
        <f t="shared" si="1"/>
        <v>Medium Risk</v>
      </c>
      <c r="O121" s="2" t="b">
        <f>AND(OR($D121=T1_Region,T1_Region="All Regions"),OR($E121=T1_Income,T1_Income="All Income Groups"))</f>
        <v>1</v>
      </c>
    </row>
    <row r="122" ht="15.0" customHeight="1">
      <c r="A122" s="2" t="s">
        <v>46</v>
      </c>
      <c r="B122" s="2" t="s">
        <v>47</v>
      </c>
      <c r="C122" s="2">
        <v>2013.0</v>
      </c>
      <c r="D122" s="2" t="s">
        <v>41</v>
      </c>
      <c r="E122" s="2" t="s">
        <v>42</v>
      </c>
      <c r="F122" s="2">
        <v>36.37</v>
      </c>
      <c r="G122" s="2">
        <v>42.41</v>
      </c>
      <c r="H122" s="2">
        <v>38.02</v>
      </c>
      <c r="I122" s="2">
        <v>42.06</v>
      </c>
      <c r="J122" s="2">
        <v>39.71</v>
      </c>
      <c r="K122" s="2">
        <v>60.29</v>
      </c>
      <c r="L122" s="2" t="s">
        <v>29</v>
      </c>
      <c r="M122" s="2">
        <v>484.04</v>
      </c>
      <c r="N122" s="2" t="str">
        <f t="shared" si="1"/>
        <v>Medium Risk</v>
      </c>
      <c r="O122" s="2" t="b">
        <f>AND(OR($D122=T1_Region,T1_Region="All Regions"),OR($E122=T1_Income,T1_Income="All Income Groups"))</f>
        <v>1</v>
      </c>
    </row>
    <row r="123" ht="15.0" customHeight="1">
      <c r="A123" s="2" t="s">
        <v>46</v>
      </c>
      <c r="B123" s="2" t="s">
        <v>47</v>
      </c>
      <c r="C123" s="2">
        <v>2014.0</v>
      </c>
      <c r="D123" s="2" t="s">
        <v>41</v>
      </c>
      <c r="E123" s="2" t="s">
        <v>42</v>
      </c>
      <c r="F123" s="2">
        <v>36.86</v>
      </c>
      <c r="G123" s="2">
        <v>44.0</v>
      </c>
      <c r="H123" s="2">
        <v>40.6</v>
      </c>
      <c r="I123" s="2">
        <v>45.8</v>
      </c>
      <c r="J123" s="2">
        <v>41.81</v>
      </c>
      <c r="K123" s="2">
        <v>58.19</v>
      </c>
      <c r="L123" s="2" t="s">
        <v>29</v>
      </c>
      <c r="M123" s="2">
        <v>549.99</v>
      </c>
      <c r="N123" s="2" t="str">
        <f t="shared" si="1"/>
        <v>Medium Risk</v>
      </c>
      <c r="O123" s="2" t="b">
        <f>AND(OR($D123=T1_Region,T1_Region="All Regions"),OR($E123=T1_Income,T1_Income="All Income Groups"))</f>
        <v>1</v>
      </c>
    </row>
    <row r="124" ht="15.0" customHeight="1">
      <c r="A124" s="2" t="s">
        <v>46</v>
      </c>
      <c r="B124" s="2" t="s">
        <v>47</v>
      </c>
      <c r="C124" s="2">
        <v>2015.0</v>
      </c>
      <c r="D124" s="2" t="s">
        <v>41</v>
      </c>
      <c r="E124" s="2" t="s">
        <v>42</v>
      </c>
      <c r="F124" s="2">
        <v>37.34</v>
      </c>
      <c r="G124" s="2">
        <v>43.11</v>
      </c>
      <c r="H124" s="2">
        <v>40.62</v>
      </c>
      <c r="I124" s="2">
        <v>44.31</v>
      </c>
      <c r="J124" s="2">
        <v>41.34</v>
      </c>
      <c r="K124" s="2">
        <v>58.66</v>
      </c>
      <c r="L124" s="2" t="s">
        <v>29</v>
      </c>
      <c r="M124" s="2">
        <v>597.91</v>
      </c>
      <c r="N124" s="2" t="str">
        <f t="shared" si="1"/>
        <v>Medium Risk</v>
      </c>
      <c r="O124" s="2" t="b">
        <f>AND(OR($D124=T1_Region,T1_Region="All Regions"),OR($E124=T1_Income,T1_Income="All Income Groups"))</f>
        <v>1</v>
      </c>
    </row>
    <row r="125" ht="15.0" customHeight="1">
      <c r="A125" s="2" t="s">
        <v>46</v>
      </c>
      <c r="B125" s="2" t="s">
        <v>47</v>
      </c>
      <c r="C125" s="2">
        <v>2016.0</v>
      </c>
      <c r="D125" s="2" t="s">
        <v>41</v>
      </c>
      <c r="E125" s="2" t="s">
        <v>42</v>
      </c>
      <c r="F125" s="2">
        <v>39.03</v>
      </c>
      <c r="G125" s="2">
        <v>43.22</v>
      </c>
      <c r="H125" s="2">
        <v>39.7</v>
      </c>
      <c r="I125" s="2">
        <v>41.3</v>
      </c>
      <c r="J125" s="2">
        <v>40.81</v>
      </c>
      <c r="K125" s="2">
        <v>59.19</v>
      </c>
      <c r="L125" s="2" t="s">
        <v>29</v>
      </c>
      <c r="M125" s="2">
        <v>641.65</v>
      </c>
      <c r="N125" s="2" t="str">
        <f t="shared" si="1"/>
        <v>Medium Risk</v>
      </c>
      <c r="O125" s="2" t="b">
        <f>AND(OR($D125=T1_Region,T1_Region="All Regions"),OR($E125=T1_Income,T1_Income="All Income Groups"))</f>
        <v>1</v>
      </c>
    </row>
    <row r="126" ht="15.0" customHeight="1">
      <c r="A126" s="2" t="s">
        <v>46</v>
      </c>
      <c r="B126" s="2" t="s">
        <v>47</v>
      </c>
      <c r="C126" s="2">
        <v>2017.0</v>
      </c>
      <c r="D126" s="2" t="s">
        <v>41</v>
      </c>
      <c r="E126" s="2" t="s">
        <v>42</v>
      </c>
      <c r="F126" s="2">
        <v>36.42</v>
      </c>
      <c r="G126" s="2">
        <v>43.5</v>
      </c>
      <c r="H126" s="2">
        <v>40.69</v>
      </c>
      <c r="I126" s="2">
        <v>39.94</v>
      </c>
      <c r="J126" s="2">
        <v>40.14</v>
      </c>
      <c r="K126" s="2">
        <v>59.86</v>
      </c>
      <c r="L126" s="2" t="s">
        <v>29</v>
      </c>
      <c r="M126" s="2">
        <v>696.35</v>
      </c>
      <c r="N126" s="2" t="str">
        <f t="shared" si="1"/>
        <v>Medium Risk</v>
      </c>
      <c r="O126" s="2" t="b">
        <f>AND(OR($D126=T1_Region,T1_Region="All Regions"),OR($E126=T1_Income,T1_Income="All Income Groups"))</f>
        <v>1</v>
      </c>
    </row>
    <row r="127" ht="15.0" customHeight="1">
      <c r="A127" s="2" t="s">
        <v>46</v>
      </c>
      <c r="B127" s="2" t="s">
        <v>47</v>
      </c>
      <c r="C127" s="2">
        <v>2018.0</v>
      </c>
      <c r="D127" s="2" t="s">
        <v>41</v>
      </c>
      <c r="E127" s="2" t="s">
        <v>42</v>
      </c>
      <c r="F127" s="2">
        <v>38.61</v>
      </c>
      <c r="G127" s="2">
        <v>43.3</v>
      </c>
      <c r="H127" s="2">
        <v>41.51</v>
      </c>
      <c r="I127" s="2">
        <v>45.3</v>
      </c>
      <c r="J127" s="2">
        <v>42.18</v>
      </c>
      <c r="K127" s="2">
        <v>57.82</v>
      </c>
      <c r="L127" s="2" t="s">
        <v>29</v>
      </c>
      <c r="M127" s="2">
        <v>739.7</v>
      </c>
      <c r="N127" s="2" t="str">
        <f t="shared" si="1"/>
        <v>Medium Risk</v>
      </c>
      <c r="O127" s="2" t="b">
        <f>AND(OR($D127=T1_Region,T1_Region="All Regions"),OR($E127=T1_Income,T1_Income="All Income Groups"))</f>
        <v>1</v>
      </c>
    </row>
    <row r="128" ht="15.0" customHeight="1">
      <c r="A128" s="2" t="s">
        <v>46</v>
      </c>
      <c r="B128" s="2" t="s">
        <v>47</v>
      </c>
      <c r="C128" s="2">
        <v>2019.0</v>
      </c>
      <c r="D128" s="2" t="s">
        <v>41</v>
      </c>
      <c r="E128" s="2" t="s">
        <v>42</v>
      </c>
      <c r="F128" s="2">
        <v>39.21</v>
      </c>
      <c r="G128" s="2">
        <v>43.6</v>
      </c>
      <c r="H128" s="2">
        <v>41.8</v>
      </c>
      <c r="I128" s="2">
        <v>45.76</v>
      </c>
      <c r="J128" s="2">
        <v>42.59</v>
      </c>
      <c r="K128" s="2">
        <v>57.41</v>
      </c>
      <c r="L128" s="2" t="s">
        <v>29</v>
      </c>
      <c r="M128" s="2">
        <v>793.47</v>
      </c>
      <c r="N128" s="2" t="str">
        <f t="shared" si="1"/>
        <v>Medium Risk</v>
      </c>
      <c r="O128" s="2" t="b">
        <f>AND(OR($D128=T1_Region,T1_Region="All Regions"),OR($E128=T1_Income,T1_Income="All Income Groups"))</f>
        <v>1</v>
      </c>
    </row>
    <row r="129" ht="15.0" customHeight="1">
      <c r="A129" s="2" t="s">
        <v>46</v>
      </c>
      <c r="B129" s="2" t="s">
        <v>47</v>
      </c>
      <c r="C129" s="2">
        <v>2020.0</v>
      </c>
      <c r="D129" s="2" t="s">
        <v>41</v>
      </c>
      <c r="E129" s="2" t="s">
        <v>42</v>
      </c>
      <c r="F129" s="2">
        <v>40.39</v>
      </c>
      <c r="G129" s="2">
        <v>42.96</v>
      </c>
      <c r="H129" s="2">
        <v>42.0</v>
      </c>
      <c r="I129" s="2">
        <v>38.68</v>
      </c>
      <c r="J129" s="2">
        <v>41.01</v>
      </c>
      <c r="K129" s="2">
        <v>58.99</v>
      </c>
      <c r="L129" s="2" t="s">
        <v>29</v>
      </c>
      <c r="M129" s="2">
        <v>829.79</v>
      </c>
      <c r="N129" s="2" t="str">
        <f t="shared" si="1"/>
        <v>Medium Risk</v>
      </c>
      <c r="O129" s="2" t="b">
        <f>AND(OR($D129=T1_Region,T1_Region="All Regions"),OR($E129=T1_Income,T1_Income="All Income Groups"))</f>
        <v>1</v>
      </c>
    </row>
    <row r="130" ht="15.0" customHeight="1">
      <c r="A130" s="2" t="s">
        <v>46</v>
      </c>
      <c r="B130" s="2" t="s">
        <v>47</v>
      </c>
      <c r="C130" s="2">
        <v>2021.0</v>
      </c>
      <c r="D130" s="2" t="s">
        <v>41</v>
      </c>
      <c r="E130" s="2" t="s">
        <v>42</v>
      </c>
      <c r="F130" s="2">
        <v>39.75</v>
      </c>
      <c r="G130" s="2">
        <v>40.64</v>
      </c>
      <c r="H130" s="2">
        <v>42.74</v>
      </c>
      <c r="I130" s="2">
        <v>31.49</v>
      </c>
      <c r="J130" s="2">
        <v>38.66</v>
      </c>
      <c r="K130" s="2">
        <v>61.34</v>
      </c>
      <c r="L130" s="2" t="s">
        <v>29</v>
      </c>
      <c r="M130" s="2">
        <v>893.01</v>
      </c>
      <c r="N130" s="2" t="str">
        <f t="shared" si="1"/>
        <v>Medium Risk</v>
      </c>
      <c r="O130" s="2" t="b">
        <f>AND(OR($D130=T1_Region,T1_Region="All Regions"),OR($E130=T1_Income,T1_Income="All Income Groups"))</f>
        <v>1</v>
      </c>
    </row>
    <row r="131" ht="15.0" customHeight="1">
      <c r="A131" s="2" t="s">
        <v>46</v>
      </c>
      <c r="B131" s="2" t="s">
        <v>47</v>
      </c>
      <c r="C131" s="2">
        <v>2022.0</v>
      </c>
      <c r="D131" s="2" t="s">
        <v>41</v>
      </c>
      <c r="E131" s="2" t="s">
        <v>42</v>
      </c>
      <c r="F131" s="2">
        <v>39.63</v>
      </c>
      <c r="G131" s="2">
        <v>41.16</v>
      </c>
      <c r="H131" s="2">
        <v>42.54</v>
      </c>
      <c r="I131" s="2">
        <v>34.02</v>
      </c>
      <c r="J131" s="2">
        <v>39.34</v>
      </c>
      <c r="K131" s="2">
        <v>60.66</v>
      </c>
      <c r="L131" s="2" t="s">
        <v>29</v>
      </c>
      <c r="M131" s="2">
        <v>982.1</v>
      </c>
      <c r="N131" s="2" t="str">
        <f t="shared" si="1"/>
        <v>Medium Risk</v>
      </c>
      <c r="O131" s="2" t="b">
        <f>AND(OR($D131=T1_Region,T1_Region="All Regions"),OR($E131=T1_Income,T1_Income="All Income Groups"))</f>
        <v>1</v>
      </c>
    </row>
    <row r="132" ht="15.0" customHeight="1">
      <c r="A132" s="2" t="s">
        <v>46</v>
      </c>
      <c r="B132" s="2" t="s">
        <v>47</v>
      </c>
      <c r="C132" s="2">
        <v>2023.0</v>
      </c>
      <c r="D132" s="2" t="s">
        <v>41</v>
      </c>
      <c r="E132" s="2" t="s">
        <v>42</v>
      </c>
      <c r="F132" s="2">
        <v>38.48</v>
      </c>
      <c r="G132" s="2">
        <v>39.08</v>
      </c>
      <c r="H132" s="2">
        <v>41.66</v>
      </c>
      <c r="I132" s="2">
        <v>34.06</v>
      </c>
      <c r="J132" s="2">
        <v>38.32</v>
      </c>
      <c r="K132" s="2">
        <v>61.68</v>
      </c>
      <c r="L132" s="2" t="s">
        <v>29</v>
      </c>
      <c r="M132" s="2">
        <v>1055.81</v>
      </c>
      <c r="N132" s="2" t="str">
        <f t="shared" si="1"/>
        <v>Medium Risk</v>
      </c>
      <c r="O132" s="2" t="b">
        <f>AND(OR($D132=T1_Region,T1_Region="All Regions"),OR($E132=T1_Income,T1_Income="All Income Groups"))</f>
        <v>1</v>
      </c>
    </row>
    <row r="133" ht="15.0" customHeight="1">
      <c r="A133" s="2" t="s">
        <v>46</v>
      </c>
      <c r="B133" s="2" t="s">
        <v>47</v>
      </c>
      <c r="C133" s="2">
        <v>2024.0</v>
      </c>
      <c r="D133" s="2" t="s">
        <v>41</v>
      </c>
      <c r="E133" s="2" t="s">
        <v>42</v>
      </c>
      <c r="F133" s="2">
        <v>38.99</v>
      </c>
      <c r="G133" s="2">
        <v>38.91</v>
      </c>
      <c r="H133" s="2">
        <v>41.72</v>
      </c>
      <c r="I133" s="2">
        <v>33.7</v>
      </c>
      <c r="J133" s="2">
        <v>38.33</v>
      </c>
      <c r="K133" s="2">
        <v>61.67</v>
      </c>
      <c r="L133" s="2" t="s">
        <v>29</v>
      </c>
      <c r="M133" s="2">
        <v>1133.88</v>
      </c>
      <c r="N133" s="2" t="str">
        <f t="shared" si="1"/>
        <v>Medium Risk</v>
      </c>
      <c r="O133" s="2" t="b">
        <f>AND(OR($D133=T1_Region,T1_Region="All Regions"),OR($E133=T1_Income,T1_Income="All Income Groups"))</f>
        <v>1</v>
      </c>
    </row>
    <row r="134" ht="15.0" customHeight="1">
      <c r="A134" s="2" t="s">
        <v>48</v>
      </c>
      <c r="B134" s="2" t="s">
        <v>49</v>
      </c>
      <c r="C134" s="2">
        <v>2013.0</v>
      </c>
      <c r="D134" s="2" t="s">
        <v>50</v>
      </c>
      <c r="E134" s="2" t="s">
        <v>20</v>
      </c>
      <c r="F134" s="2">
        <v>74.77</v>
      </c>
      <c r="G134" s="2">
        <v>78.3</v>
      </c>
      <c r="H134" s="2">
        <v>72.91</v>
      </c>
      <c r="I134" s="2">
        <v>74.29</v>
      </c>
      <c r="J134" s="2">
        <v>75.07</v>
      </c>
      <c r="K134" s="2">
        <v>24.93</v>
      </c>
      <c r="L134" s="2" t="s">
        <v>97</v>
      </c>
      <c r="M134" s="2">
        <v>42669.18</v>
      </c>
      <c r="N134" s="2" t="str">
        <f t="shared" si="1"/>
        <v>Low Risk</v>
      </c>
      <c r="O134" s="2" t="b">
        <f>AND(OR($D134=T1_Region,T1_Region="All Regions"),OR($E134=T1_Income,T1_Income="All Income Groups"))</f>
        <v>1</v>
      </c>
    </row>
    <row r="135" ht="15.0" customHeight="1">
      <c r="A135" s="2" t="s">
        <v>48</v>
      </c>
      <c r="B135" s="2" t="s">
        <v>49</v>
      </c>
      <c r="C135" s="2">
        <v>2014.0</v>
      </c>
      <c r="D135" s="2" t="s">
        <v>50</v>
      </c>
      <c r="E135" s="2" t="s">
        <v>20</v>
      </c>
      <c r="F135" s="2">
        <v>74.4</v>
      </c>
      <c r="G135" s="2">
        <v>78.7</v>
      </c>
      <c r="H135" s="2">
        <v>71.14</v>
      </c>
      <c r="I135" s="2">
        <v>72.52</v>
      </c>
      <c r="J135" s="2">
        <v>74.19</v>
      </c>
      <c r="K135" s="2">
        <v>25.81</v>
      </c>
      <c r="L135" s="2" t="s">
        <v>97</v>
      </c>
      <c r="M135" s="2">
        <v>43148.05</v>
      </c>
      <c r="N135" s="2" t="str">
        <f t="shared" si="1"/>
        <v>Low Risk</v>
      </c>
      <c r="O135" s="2" t="b">
        <f>AND(OR($D135=T1_Region,T1_Region="All Regions"),OR($E135=T1_Income,T1_Income="All Income Groups"))</f>
        <v>1</v>
      </c>
    </row>
    <row r="136" ht="15.0" customHeight="1">
      <c r="A136" s="2" t="s">
        <v>48</v>
      </c>
      <c r="B136" s="2" t="s">
        <v>49</v>
      </c>
      <c r="C136" s="2">
        <v>2015.0</v>
      </c>
      <c r="D136" s="2" t="s">
        <v>50</v>
      </c>
      <c r="E136" s="2" t="s">
        <v>20</v>
      </c>
      <c r="F136" s="2">
        <v>74.1</v>
      </c>
      <c r="G136" s="2">
        <v>78.35</v>
      </c>
      <c r="H136" s="2">
        <v>72.43</v>
      </c>
      <c r="I136" s="2">
        <v>68.86</v>
      </c>
      <c r="J136" s="2">
        <v>73.43</v>
      </c>
      <c r="K136" s="2">
        <v>26.57</v>
      </c>
      <c r="L136" s="2" t="s">
        <v>97</v>
      </c>
      <c r="M136" s="2">
        <v>36702.43</v>
      </c>
      <c r="N136" s="2" t="str">
        <f t="shared" si="1"/>
        <v>Low Risk</v>
      </c>
      <c r="O136" s="2" t="b">
        <f>AND(OR($D136=T1_Region,T1_Region="All Regions"),OR($E136=T1_Income,T1_Income="All Income Groups"))</f>
        <v>1</v>
      </c>
    </row>
    <row r="137" ht="15.0" customHeight="1">
      <c r="A137" s="2" t="s">
        <v>48</v>
      </c>
      <c r="B137" s="2" t="s">
        <v>49</v>
      </c>
      <c r="C137" s="2">
        <v>2016.0</v>
      </c>
      <c r="D137" s="2" t="s">
        <v>50</v>
      </c>
      <c r="E137" s="2" t="s">
        <v>20</v>
      </c>
      <c r="F137" s="2">
        <v>75.03</v>
      </c>
      <c r="G137" s="2">
        <v>78.59</v>
      </c>
      <c r="H137" s="2">
        <v>72.25</v>
      </c>
      <c r="I137" s="2">
        <v>65.18</v>
      </c>
      <c r="J137" s="2">
        <v>72.76</v>
      </c>
      <c r="K137" s="2">
        <v>27.24</v>
      </c>
      <c r="L137" s="2" t="s">
        <v>97</v>
      </c>
      <c r="M137" s="2">
        <v>37024.22</v>
      </c>
      <c r="N137" s="2" t="str">
        <f t="shared" si="1"/>
        <v>Low Risk</v>
      </c>
      <c r="O137" s="2" t="b">
        <f>AND(OR($D137=T1_Region,T1_Region="All Regions"),OR($E137=T1_Income,T1_Income="All Income Groups"))</f>
        <v>1</v>
      </c>
    </row>
    <row r="138" ht="15.0" customHeight="1">
      <c r="A138" s="2" t="s">
        <v>48</v>
      </c>
      <c r="B138" s="2" t="s">
        <v>49</v>
      </c>
      <c r="C138" s="2">
        <v>2017.0</v>
      </c>
      <c r="D138" s="2" t="s">
        <v>50</v>
      </c>
      <c r="E138" s="2" t="s">
        <v>20</v>
      </c>
      <c r="F138" s="2">
        <v>75.31</v>
      </c>
      <c r="G138" s="2">
        <v>78.39</v>
      </c>
      <c r="H138" s="2">
        <v>74.31</v>
      </c>
      <c r="I138" s="2">
        <v>69.82</v>
      </c>
      <c r="J138" s="2">
        <v>74.46</v>
      </c>
      <c r="K138" s="2">
        <v>25.54</v>
      </c>
      <c r="L138" s="2" t="s">
        <v>97</v>
      </c>
      <c r="M138" s="2">
        <v>38687.16</v>
      </c>
      <c r="N138" s="2" t="str">
        <f t="shared" si="1"/>
        <v>Low Risk</v>
      </c>
      <c r="O138" s="2" t="b">
        <f>AND(OR($D138=T1_Region,T1_Region="All Regions"),OR($E138=T1_Income,T1_Income="All Income Groups"))</f>
        <v>1</v>
      </c>
    </row>
    <row r="139" ht="15.0" customHeight="1">
      <c r="A139" s="2" t="s">
        <v>48</v>
      </c>
      <c r="B139" s="2" t="s">
        <v>49</v>
      </c>
      <c r="C139" s="2">
        <v>2018.0</v>
      </c>
      <c r="D139" s="2" t="s">
        <v>50</v>
      </c>
      <c r="E139" s="2" t="s">
        <v>20</v>
      </c>
      <c r="F139" s="2">
        <v>76.44</v>
      </c>
      <c r="G139" s="2">
        <v>78.06</v>
      </c>
      <c r="H139" s="2">
        <v>74.86</v>
      </c>
      <c r="I139" s="2">
        <v>67.68</v>
      </c>
      <c r="J139" s="2">
        <v>74.26</v>
      </c>
      <c r="K139" s="2">
        <v>25.74</v>
      </c>
      <c r="L139" s="2" t="s">
        <v>97</v>
      </c>
      <c r="M139" s="2">
        <v>41418.18</v>
      </c>
      <c r="N139" s="2" t="str">
        <f t="shared" si="1"/>
        <v>Low Risk</v>
      </c>
      <c r="O139" s="2" t="b">
        <f>AND(OR($D139=T1_Region,T1_Region="All Regions"),OR($E139=T1_Income,T1_Income="All Income Groups"))</f>
        <v>1</v>
      </c>
    </row>
    <row r="140" ht="15.0" customHeight="1">
      <c r="A140" s="2" t="s">
        <v>48</v>
      </c>
      <c r="B140" s="2" t="s">
        <v>49</v>
      </c>
      <c r="C140" s="2">
        <v>2019.0</v>
      </c>
      <c r="D140" s="2" t="s">
        <v>50</v>
      </c>
      <c r="E140" s="2" t="s">
        <v>20</v>
      </c>
      <c r="F140" s="2">
        <v>75.42</v>
      </c>
      <c r="G140" s="2">
        <v>77.36</v>
      </c>
      <c r="H140" s="2">
        <v>77.84</v>
      </c>
      <c r="I140" s="2">
        <v>69.38</v>
      </c>
      <c r="J140" s="2">
        <v>75.0</v>
      </c>
      <c r="K140" s="2">
        <v>25.0</v>
      </c>
      <c r="L140" s="2" t="s">
        <v>97</v>
      </c>
      <c r="M140" s="2">
        <v>40408.28</v>
      </c>
      <c r="N140" s="2" t="str">
        <f t="shared" si="1"/>
        <v>Low Risk</v>
      </c>
      <c r="O140" s="2" t="b">
        <f>AND(OR($D140=T1_Region,T1_Region="All Regions"),OR($E140=T1_Income,T1_Income="All Income Groups"))</f>
        <v>1</v>
      </c>
    </row>
    <row r="141" ht="15.0" customHeight="1">
      <c r="A141" s="2" t="s">
        <v>48</v>
      </c>
      <c r="B141" s="2" t="s">
        <v>49</v>
      </c>
      <c r="C141" s="2">
        <v>2020.0</v>
      </c>
      <c r="D141" s="2" t="s">
        <v>50</v>
      </c>
      <c r="E141" s="2" t="s">
        <v>20</v>
      </c>
      <c r="F141" s="2">
        <v>74.05</v>
      </c>
      <c r="G141" s="2">
        <v>76.36</v>
      </c>
      <c r="H141" s="2">
        <v>74.72</v>
      </c>
      <c r="I141" s="2">
        <v>68.07</v>
      </c>
      <c r="J141" s="2">
        <v>73.3</v>
      </c>
      <c r="K141" s="2">
        <v>26.7</v>
      </c>
      <c r="L141" s="2" t="s">
        <v>97</v>
      </c>
      <c r="M141" s="2">
        <v>39169.86</v>
      </c>
      <c r="N141" s="2" t="str">
        <f t="shared" si="1"/>
        <v>Low Risk</v>
      </c>
      <c r="O141" s="2" t="b">
        <f>AND(OR($D141=T1_Region,T1_Region="All Regions"),OR($E141=T1_Income,T1_Income="All Income Groups"))</f>
        <v>1</v>
      </c>
    </row>
    <row r="142" ht="15.0" customHeight="1">
      <c r="A142" s="2" t="s">
        <v>48</v>
      </c>
      <c r="B142" s="2" t="s">
        <v>49</v>
      </c>
      <c r="C142" s="2">
        <v>2021.0</v>
      </c>
      <c r="D142" s="2" t="s">
        <v>50</v>
      </c>
      <c r="E142" s="2" t="s">
        <v>20</v>
      </c>
      <c r="F142" s="2">
        <v>76.65</v>
      </c>
      <c r="G142" s="2">
        <v>75.56</v>
      </c>
      <c r="H142" s="2">
        <v>75.12</v>
      </c>
      <c r="I142" s="2">
        <v>68.02</v>
      </c>
      <c r="J142" s="2">
        <v>73.84</v>
      </c>
      <c r="K142" s="2">
        <v>26.16</v>
      </c>
      <c r="L142" s="2" t="s">
        <v>97</v>
      </c>
      <c r="M142" s="2">
        <v>43725.1</v>
      </c>
      <c r="N142" s="2" t="str">
        <f t="shared" si="1"/>
        <v>Low Risk</v>
      </c>
      <c r="O142" s="2" t="b">
        <f>AND(OR($D142=T1_Region,T1_Region="All Regions"),OR($E142=T1_Income,T1_Income="All Income Groups"))</f>
        <v>1</v>
      </c>
    </row>
    <row r="143" ht="15.0" customHeight="1">
      <c r="A143" s="2" t="s">
        <v>48</v>
      </c>
      <c r="B143" s="2" t="s">
        <v>49</v>
      </c>
      <c r="C143" s="2">
        <v>2022.0</v>
      </c>
      <c r="D143" s="2" t="s">
        <v>50</v>
      </c>
      <c r="E143" s="2" t="s">
        <v>20</v>
      </c>
      <c r="F143" s="2">
        <v>75.9</v>
      </c>
      <c r="G143" s="2">
        <v>74.51</v>
      </c>
      <c r="H143" s="2">
        <v>74.88</v>
      </c>
      <c r="I143" s="2">
        <v>66.23</v>
      </c>
      <c r="J143" s="2">
        <v>72.88</v>
      </c>
      <c r="K143" s="2">
        <v>27.12</v>
      </c>
      <c r="L143" s="2" t="s">
        <v>97</v>
      </c>
      <c r="M143" s="2">
        <v>40988.64</v>
      </c>
      <c r="N143" s="2" t="str">
        <f t="shared" si="1"/>
        <v>Low Risk</v>
      </c>
      <c r="O143" s="2" t="b">
        <f>AND(OR($D143=T1_Region,T1_Region="All Regions"),OR($E143=T1_Income,T1_Income="All Income Groups"))</f>
        <v>1</v>
      </c>
    </row>
    <row r="144" ht="15.0" customHeight="1">
      <c r="A144" s="2" t="s">
        <v>48</v>
      </c>
      <c r="B144" s="2" t="s">
        <v>49</v>
      </c>
      <c r="C144" s="2">
        <v>2023.0</v>
      </c>
      <c r="D144" s="2" t="s">
        <v>50</v>
      </c>
      <c r="E144" s="2" t="s">
        <v>20</v>
      </c>
      <c r="F144" s="2">
        <v>73.51</v>
      </c>
      <c r="G144" s="2">
        <v>74.08</v>
      </c>
      <c r="H144" s="2">
        <v>74.3</v>
      </c>
      <c r="I144" s="2">
        <v>65.57</v>
      </c>
      <c r="J144" s="2">
        <v>71.87</v>
      </c>
      <c r="K144" s="2">
        <v>28.13</v>
      </c>
      <c r="L144" s="2" t="s">
        <v>97</v>
      </c>
      <c r="M144" s="2">
        <v>44700.14</v>
      </c>
      <c r="N144" s="2" t="str">
        <f t="shared" si="1"/>
        <v>Low Risk</v>
      </c>
      <c r="O144" s="2" t="b">
        <f>AND(OR($D144=T1_Region,T1_Region="All Regions"),OR($E144=T1_Income,T1_Income="All Income Groups"))</f>
        <v>1</v>
      </c>
    </row>
    <row r="145" ht="15.0" customHeight="1">
      <c r="A145" s="2" t="s">
        <v>48</v>
      </c>
      <c r="B145" s="2" t="s">
        <v>49</v>
      </c>
      <c r="C145" s="2">
        <v>2024.0</v>
      </c>
      <c r="D145" s="2" t="s">
        <v>50</v>
      </c>
      <c r="E145" s="2" t="s">
        <v>20</v>
      </c>
      <c r="F145" s="2">
        <v>72.51</v>
      </c>
      <c r="G145" s="2">
        <v>73.81</v>
      </c>
      <c r="H145" s="2">
        <v>72.94</v>
      </c>
      <c r="I145" s="2">
        <v>61.77</v>
      </c>
      <c r="J145" s="2">
        <v>70.26</v>
      </c>
      <c r="K145" s="2">
        <v>29.74</v>
      </c>
      <c r="L145" s="2" t="s">
        <v>97</v>
      </c>
      <c r="M145" s="2">
        <v>46103.08</v>
      </c>
      <c r="N145" s="2" t="str">
        <f t="shared" si="1"/>
        <v>Low Risk</v>
      </c>
      <c r="O145" s="2" t="b">
        <f>AND(OR($D145=T1_Region,T1_Region="All Regions"),OR($E145=T1_Income,T1_Income="All Income Groups"))</f>
        <v>1</v>
      </c>
    </row>
    <row r="146" ht="15.0" customHeight="1">
      <c r="A146" s="2" t="s">
        <v>51</v>
      </c>
      <c r="B146" s="2" t="s">
        <v>52</v>
      </c>
      <c r="C146" s="2">
        <v>2013.0</v>
      </c>
      <c r="D146" s="2" t="s">
        <v>50</v>
      </c>
      <c r="E146" s="2" t="s">
        <v>13</v>
      </c>
      <c r="F146" s="2">
        <v>58.75</v>
      </c>
      <c r="G146" s="2">
        <v>59.06</v>
      </c>
      <c r="H146" s="2">
        <v>66.35</v>
      </c>
      <c r="I146" s="2">
        <v>62.03</v>
      </c>
      <c r="J146" s="2">
        <v>61.55</v>
      </c>
      <c r="K146" s="2">
        <v>38.45</v>
      </c>
      <c r="L146" s="2" t="s">
        <v>97</v>
      </c>
      <c r="M146" s="2">
        <v>4712.0</v>
      </c>
      <c r="N146" s="2" t="str">
        <f t="shared" si="1"/>
        <v>Low Risk</v>
      </c>
      <c r="O146" s="2" t="b">
        <f>AND(OR($D146=T1_Region,T1_Region="All Regions"),OR($E146=T1_Income,T1_Income="All Income Groups"))</f>
        <v>1</v>
      </c>
    </row>
    <row r="147" ht="15.0" customHeight="1">
      <c r="A147" s="2" t="s">
        <v>51</v>
      </c>
      <c r="B147" s="2" t="s">
        <v>52</v>
      </c>
      <c r="C147" s="2">
        <v>2014.0</v>
      </c>
      <c r="D147" s="2" t="s">
        <v>50</v>
      </c>
      <c r="E147" s="2" t="s">
        <v>13</v>
      </c>
      <c r="F147" s="2">
        <v>64.21</v>
      </c>
      <c r="G147" s="2">
        <v>63.04</v>
      </c>
      <c r="H147" s="2">
        <v>67.79</v>
      </c>
      <c r="I147" s="2">
        <v>65.47</v>
      </c>
      <c r="J147" s="2">
        <v>65.13</v>
      </c>
      <c r="K147" s="2">
        <v>34.87</v>
      </c>
      <c r="L147" s="2" t="s">
        <v>97</v>
      </c>
      <c r="M147" s="2">
        <v>4830.33</v>
      </c>
      <c r="N147" s="2" t="str">
        <f t="shared" si="1"/>
        <v>Low Risk</v>
      </c>
      <c r="O147" s="2" t="b">
        <f>AND(OR($D147=T1_Region,T1_Region="All Regions"),OR($E147=T1_Income,T1_Income="All Income Groups"))</f>
        <v>1</v>
      </c>
    </row>
    <row r="148" ht="15.0" customHeight="1">
      <c r="A148" s="2" t="s">
        <v>51</v>
      </c>
      <c r="B148" s="2" t="s">
        <v>52</v>
      </c>
      <c r="C148" s="2">
        <v>2015.0</v>
      </c>
      <c r="D148" s="2" t="s">
        <v>50</v>
      </c>
      <c r="E148" s="2" t="s">
        <v>13</v>
      </c>
      <c r="F148" s="2">
        <v>63.55</v>
      </c>
      <c r="G148" s="2">
        <v>62.83</v>
      </c>
      <c r="H148" s="2">
        <v>67.64</v>
      </c>
      <c r="I148" s="2">
        <v>64.35</v>
      </c>
      <c r="J148" s="2">
        <v>64.59</v>
      </c>
      <c r="K148" s="2">
        <v>35.41</v>
      </c>
      <c r="L148" s="2" t="s">
        <v>97</v>
      </c>
      <c r="M148" s="2">
        <v>4086.62</v>
      </c>
      <c r="N148" s="2" t="str">
        <f t="shared" si="1"/>
        <v>Low Risk</v>
      </c>
      <c r="O148" s="2" t="b">
        <f>AND(OR($D148=T1_Region,T1_Region="All Regions"),OR($E148=T1_Income,T1_Income="All Income Groups"))</f>
        <v>1</v>
      </c>
    </row>
    <row r="149" ht="15.0" customHeight="1">
      <c r="A149" s="2" t="s">
        <v>51</v>
      </c>
      <c r="B149" s="2" t="s">
        <v>52</v>
      </c>
      <c r="C149" s="2">
        <v>2016.0</v>
      </c>
      <c r="D149" s="2" t="s">
        <v>50</v>
      </c>
      <c r="E149" s="2" t="s">
        <v>13</v>
      </c>
      <c r="F149" s="2">
        <v>64.04</v>
      </c>
      <c r="G149" s="2">
        <v>63.35</v>
      </c>
      <c r="H149" s="2">
        <v>69.76</v>
      </c>
      <c r="I149" s="2">
        <v>64.84</v>
      </c>
      <c r="J149" s="2">
        <v>65.5</v>
      </c>
      <c r="K149" s="2">
        <v>34.5</v>
      </c>
      <c r="L149" s="2" t="s">
        <v>97</v>
      </c>
      <c r="M149" s="2">
        <v>4143.4</v>
      </c>
      <c r="N149" s="2" t="str">
        <f t="shared" si="1"/>
        <v>Low Risk</v>
      </c>
      <c r="O149" s="2" t="b">
        <f>AND(OR($D149=T1_Region,T1_Region="All Regions"),OR($E149=T1_Income,T1_Income="All Income Groups"))</f>
        <v>1</v>
      </c>
    </row>
    <row r="150" ht="15.0" customHeight="1">
      <c r="A150" s="2" t="s">
        <v>51</v>
      </c>
      <c r="B150" s="2" t="s">
        <v>52</v>
      </c>
      <c r="C150" s="2">
        <v>2017.0</v>
      </c>
      <c r="D150" s="2" t="s">
        <v>50</v>
      </c>
      <c r="E150" s="2" t="s">
        <v>13</v>
      </c>
      <c r="F150" s="2">
        <v>65.3</v>
      </c>
      <c r="G150" s="2">
        <v>60.81</v>
      </c>
      <c r="H150" s="2">
        <v>69.71</v>
      </c>
      <c r="I150" s="2">
        <v>63.97</v>
      </c>
      <c r="J150" s="2">
        <v>64.95</v>
      </c>
      <c r="K150" s="2">
        <v>35.05</v>
      </c>
      <c r="L150" s="2" t="s">
        <v>97</v>
      </c>
      <c r="M150" s="2">
        <v>4418.75</v>
      </c>
      <c r="N150" s="2" t="str">
        <f t="shared" si="1"/>
        <v>Low Risk</v>
      </c>
      <c r="O150" s="2" t="b">
        <f>AND(OR($D150=T1_Region,T1_Region="All Regions"),OR($E150=T1_Income,T1_Income="All Income Groups"))</f>
        <v>1</v>
      </c>
    </row>
    <row r="151" ht="15.0" customHeight="1">
      <c r="A151" s="2" t="s">
        <v>51</v>
      </c>
      <c r="B151" s="2" t="s">
        <v>52</v>
      </c>
      <c r="C151" s="2">
        <v>2018.0</v>
      </c>
      <c r="D151" s="2" t="s">
        <v>50</v>
      </c>
      <c r="E151" s="2" t="s">
        <v>13</v>
      </c>
      <c r="F151" s="2">
        <v>64.89</v>
      </c>
      <c r="G151" s="2">
        <v>61.55</v>
      </c>
      <c r="H151" s="2">
        <v>67.5</v>
      </c>
      <c r="I151" s="2">
        <v>64.27</v>
      </c>
      <c r="J151" s="2">
        <v>64.55</v>
      </c>
      <c r="K151" s="2">
        <v>35.45</v>
      </c>
      <c r="L151" s="2" t="s">
        <v>97</v>
      </c>
      <c r="M151" s="2">
        <v>4804.05</v>
      </c>
      <c r="N151" s="2" t="str">
        <f t="shared" si="1"/>
        <v>Low Risk</v>
      </c>
      <c r="O151" s="2" t="b">
        <f>AND(OR($D151=T1_Region,T1_Region="All Regions"),OR($E151=T1_Income,T1_Income="All Income Groups"))</f>
        <v>1</v>
      </c>
    </row>
    <row r="152" ht="15.0" customHeight="1">
      <c r="A152" s="2" t="s">
        <v>51</v>
      </c>
      <c r="B152" s="2" t="s">
        <v>52</v>
      </c>
      <c r="C152" s="2">
        <v>2019.0</v>
      </c>
      <c r="D152" s="2" t="s">
        <v>50</v>
      </c>
      <c r="E152" s="2" t="s">
        <v>13</v>
      </c>
      <c r="F152" s="2">
        <v>64.93</v>
      </c>
      <c r="G152" s="2">
        <v>60.66</v>
      </c>
      <c r="H152" s="2">
        <v>68.71</v>
      </c>
      <c r="I152" s="2">
        <v>63.59</v>
      </c>
      <c r="J152" s="2">
        <v>64.47</v>
      </c>
      <c r="K152" s="2">
        <v>35.53</v>
      </c>
      <c r="L152" s="2" t="s">
        <v>97</v>
      </c>
      <c r="M152" s="2">
        <v>4741.28</v>
      </c>
      <c r="N152" s="2" t="str">
        <f t="shared" si="1"/>
        <v>Low Risk</v>
      </c>
      <c r="O152" s="2" t="b">
        <f>AND(OR($D152=T1_Region,T1_Region="All Regions"),OR($E152=T1_Income,T1_Income="All Income Groups"))</f>
        <v>1</v>
      </c>
    </row>
    <row r="153" ht="15.0" customHeight="1">
      <c r="A153" s="2" t="s">
        <v>51</v>
      </c>
      <c r="B153" s="2" t="s">
        <v>52</v>
      </c>
      <c r="C153" s="2">
        <v>2020.0</v>
      </c>
      <c r="D153" s="2" t="s">
        <v>50</v>
      </c>
      <c r="E153" s="2" t="s">
        <v>13</v>
      </c>
      <c r="F153" s="2">
        <v>64.46</v>
      </c>
      <c r="G153" s="2">
        <v>61.38</v>
      </c>
      <c r="H153" s="2">
        <v>67.58</v>
      </c>
      <c r="I153" s="2">
        <v>63.72</v>
      </c>
      <c r="J153" s="2">
        <v>64.29</v>
      </c>
      <c r="K153" s="2">
        <v>35.71</v>
      </c>
      <c r="L153" s="2" t="s">
        <v>97</v>
      </c>
      <c r="M153" s="2">
        <v>4300.86</v>
      </c>
      <c r="N153" s="2" t="str">
        <f t="shared" si="1"/>
        <v>Low Risk</v>
      </c>
      <c r="O153" s="2" t="b">
        <f>AND(OR($D153=T1_Region,T1_Region="All Regions"),OR($E153=T1_Income,T1_Income="All Income Groups"))</f>
        <v>1</v>
      </c>
    </row>
    <row r="154" ht="15.0" customHeight="1">
      <c r="A154" s="2" t="s">
        <v>51</v>
      </c>
      <c r="B154" s="2" t="s">
        <v>52</v>
      </c>
      <c r="C154" s="2">
        <v>2021.0</v>
      </c>
      <c r="D154" s="2" t="s">
        <v>50</v>
      </c>
      <c r="E154" s="2" t="s">
        <v>13</v>
      </c>
      <c r="F154" s="2">
        <v>62.48</v>
      </c>
      <c r="G154" s="2">
        <v>60.84</v>
      </c>
      <c r="H154" s="2">
        <v>68.16</v>
      </c>
      <c r="I154" s="2">
        <v>62.45</v>
      </c>
      <c r="J154" s="2">
        <v>63.48</v>
      </c>
      <c r="K154" s="2">
        <v>36.52</v>
      </c>
      <c r="L154" s="2" t="s">
        <v>97</v>
      </c>
      <c r="M154" s="2">
        <v>5083.61</v>
      </c>
      <c r="N154" s="2" t="str">
        <f t="shared" si="1"/>
        <v>Low Risk</v>
      </c>
      <c r="O154" s="2" t="b">
        <f>AND(OR($D154=T1_Region,T1_Region="All Regions"),OR($E154=T1_Income,T1_Income="All Income Groups"))</f>
        <v>1</v>
      </c>
    </row>
    <row r="155" ht="15.0" customHeight="1">
      <c r="A155" s="2" t="s">
        <v>51</v>
      </c>
      <c r="B155" s="2" t="s">
        <v>52</v>
      </c>
      <c r="C155" s="2">
        <v>2022.0</v>
      </c>
      <c r="D155" s="2" t="s">
        <v>50</v>
      </c>
      <c r="E155" s="2" t="s">
        <v>13</v>
      </c>
      <c r="F155" s="2">
        <v>61.04</v>
      </c>
      <c r="G155" s="2">
        <v>60.09</v>
      </c>
      <c r="H155" s="2">
        <v>67.06</v>
      </c>
      <c r="I155" s="2">
        <v>64.19</v>
      </c>
      <c r="J155" s="2">
        <v>63.09</v>
      </c>
      <c r="K155" s="2">
        <v>36.91</v>
      </c>
      <c r="L155" s="2" t="s">
        <v>97</v>
      </c>
      <c r="M155" s="2">
        <v>6729.85</v>
      </c>
      <c r="N155" s="2" t="str">
        <f t="shared" si="1"/>
        <v>Low Risk</v>
      </c>
      <c r="O155" s="2" t="b">
        <f>AND(OR($D155=T1_Region,T1_Region="All Regions"),OR($E155=T1_Income,T1_Income="All Income Groups"))</f>
        <v>1</v>
      </c>
    </row>
    <row r="156" ht="15.0" customHeight="1">
      <c r="A156" s="2" t="s">
        <v>51</v>
      </c>
      <c r="B156" s="2" t="s">
        <v>52</v>
      </c>
      <c r="C156" s="2">
        <v>2023.0</v>
      </c>
      <c r="D156" s="2" t="s">
        <v>50</v>
      </c>
      <c r="E156" s="2" t="s">
        <v>13</v>
      </c>
      <c r="F156" s="2">
        <v>61.18</v>
      </c>
      <c r="G156" s="2">
        <v>59.79</v>
      </c>
      <c r="H156" s="2">
        <v>67.61</v>
      </c>
      <c r="I156" s="2">
        <v>63.83</v>
      </c>
      <c r="J156" s="2">
        <v>63.1</v>
      </c>
      <c r="K156" s="2">
        <v>36.9</v>
      </c>
      <c r="L156" s="2" t="s">
        <v>97</v>
      </c>
      <c r="M156" s="2">
        <v>8283.67</v>
      </c>
      <c r="N156" s="2" t="str">
        <f t="shared" si="1"/>
        <v>Low Risk</v>
      </c>
      <c r="O156" s="2" t="b">
        <f>AND(OR($D156=T1_Region,T1_Region="All Regions"),OR($E156=T1_Income,T1_Income="All Income Groups"))</f>
        <v>1</v>
      </c>
    </row>
    <row r="157" ht="15.0" customHeight="1">
      <c r="A157" s="2" t="s">
        <v>51</v>
      </c>
      <c r="B157" s="2" t="s">
        <v>52</v>
      </c>
      <c r="C157" s="2">
        <v>2024.0</v>
      </c>
      <c r="D157" s="2" t="s">
        <v>50</v>
      </c>
      <c r="E157" s="2" t="s">
        <v>13</v>
      </c>
      <c r="F157" s="2">
        <v>55.57</v>
      </c>
      <c r="G157" s="2">
        <v>59.53</v>
      </c>
      <c r="H157" s="2">
        <v>65.11</v>
      </c>
      <c r="I157" s="2">
        <v>55.43</v>
      </c>
      <c r="J157" s="2">
        <v>58.91</v>
      </c>
      <c r="K157" s="2">
        <v>41.09</v>
      </c>
      <c r="L157" s="2" t="s">
        <v>29</v>
      </c>
      <c r="M157" s="2">
        <v>8967.68</v>
      </c>
      <c r="N157" s="2" t="str">
        <f t="shared" si="1"/>
        <v>Medium Risk</v>
      </c>
      <c r="O157" s="2" t="b">
        <f>AND(OR($D157=T1_Region,T1_Region="All Regions"),OR($E157=T1_Income,T1_Income="All Income Groups"))</f>
        <v>1</v>
      </c>
    </row>
    <row r="158" ht="15.0" customHeight="1">
      <c r="A158" s="2" t="s">
        <v>53</v>
      </c>
      <c r="B158" s="2" t="s">
        <v>54</v>
      </c>
      <c r="C158" s="2">
        <v>2013.0</v>
      </c>
      <c r="D158" s="2" t="s">
        <v>50</v>
      </c>
      <c r="E158" s="2" t="s">
        <v>20</v>
      </c>
      <c r="F158" s="2">
        <v>80.77</v>
      </c>
      <c r="G158" s="2">
        <v>84.97</v>
      </c>
      <c r="H158" s="2">
        <v>78.17</v>
      </c>
      <c r="I158" s="2">
        <v>82.24</v>
      </c>
      <c r="J158" s="2">
        <v>81.54</v>
      </c>
      <c r="K158" s="2">
        <v>18.46</v>
      </c>
      <c r="L158" s="2" t="s">
        <v>97</v>
      </c>
      <c r="M158" s="2">
        <v>47206.84</v>
      </c>
      <c r="N158" s="2" t="str">
        <f t="shared" si="1"/>
        <v>Low Risk</v>
      </c>
      <c r="O158" s="2" t="b">
        <f>AND(OR($D158=T1_Region,T1_Region="All Regions"),OR($E158=T1_Income,T1_Income="All Income Groups"))</f>
        <v>1</v>
      </c>
    </row>
    <row r="159" ht="15.0" customHeight="1">
      <c r="A159" s="2" t="s">
        <v>53</v>
      </c>
      <c r="B159" s="2" t="s">
        <v>54</v>
      </c>
      <c r="C159" s="2">
        <v>2014.0</v>
      </c>
      <c r="D159" s="2" t="s">
        <v>50</v>
      </c>
      <c r="E159" s="2" t="s">
        <v>20</v>
      </c>
      <c r="F159" s="2">
        <v>82.43</v>
      </c>
      <c r="G159" s="2">
        <v>86.85</v>
      </c>
      <c r="H159" s="2">
        <v>79.42</v>
      </c>
      <c r="I159" s="2">
        <v>84.12</v>
      </c>
      <c r="J159" s="2">
        <v>83.21</v>
      </c>
      <c r="K159" s="2">
        <v>16.79</v>
      </c>
      <c r="L159" s="2" t="s">
        <v>97</v>
      </c>
      <c r="M159" s="2">
        <v>48959.6</v>
      </c>
      <c r="N159" s="2" t="str">
        <f t="shared" si="1"/>
        <v>Low Risk</v>
      </c>
      <c r="O159" s="2" t="b">
        <f>AND(OR($D159=T1_Region,T1_Region="All Regions"),OR($E159=T1_Income,T1_Income="All Income Groups"))</f>
        <v>1</v>
      </c>
    </row>
    <row r="160" ht="15.0" customHeight="1">
      <c r="A160" s="2" t="s">
        <v>53</v>
      </c>
      <c r="B160" s="2" t="s">
        <v>54</v>
      </c>
      <c r="C160" s="2">
        <v>2015.0</v>
      </c>
      <c r="D160" s="2" t="s">
        <v>50</v>
      </c>
      <c r="E160" s="2" t="s">
        <v>20</v>
      </c>
      <c r="F160" s="2">
        <v>82.74</v>
      </c>
      <c r="G160" s="2">
        <v>86.91</v>
      </c>
      <c r="H160" s="2">
        <v>80.75</v>
      </c>
      <c r="I160" s="2">
        <v>80.09</v>
      </c>
      <c r="J160" s="2">
        <v>82.62</v>
      </c>
      <c r="K160" s="2">
        <v>17.38</v>
      </c>
      <c r="L160" s="2" t="s">
        <v>97</v>
      </c>
      <c r="M160" s="2">
        <v>41929.75</v>
      </c>
      <c r="N160" s="2" t="str">
        <f t="shared" si="1"/>
        <v>Low Risk</v>
      </c>
      <c r="O160" s="2" t="b">
        <f>AND(OR($D160=T1_Region,T1_Region="All Regions"),OR($E160=T1_Income,T1_Income="All Income Groups"))</f>
        <v>1</v>
      </c>
    </row>
    <row r="161" ht="15.0" customHeight="1">
      <c r="A161" s="2" t="s">
        <v>53</v>
      </c>
      <c r="B161" s="2" t="s">
        <v>54</v>
      </c>
      <c r="C161" s="2">
        <v>2016.0</v>
      </c>
      <c r="D161" s="2" t="s">
        <v>50</v>
      </c>
      <c r="E161" s="2" t="s">
        <v>20</v>
      </c>
      <c r="F161" s="2">
        <v>83.54</v>
      </c>
      <c r="G161" s="2">
        <v>85.96</v>
      </c>
      <c r="H161" s="2">
        <v>81.51</v>
      </c>
      <c r="I161" s="2">
        <v>79.47</v>
      </c>
      <c r="J161" s="2">
        <v>82.62</v>
      </c>
      <c r="K161" s="2">
        <v>17.38</v>
      </c>
      <c r="L161" s="2" t="s">
        <v>97</v>
      </c>
      <c r="M161" s="2">
        <v>42948.94</v>
      </c>
      <c r="N161" s="2" t="str">
        <f t="shared" si="1"/>
        <v>Low Risk</v>
      </c>
      <c r="O161" s="2" t="b">
        <f>AND(OR($D161=T1_Region,T1_Region="All Regions"),OR($E161=T1_Income,T1_Income="All Income Groups"))</f>
        <v>1</v>
      </c>
    </row>
    <row r="162" ht="15.0" customHeight="1">
      <c r="A162" s="2" t="s">
        <v>53</v>
      </c>
      <c r="B162" s="2" t="s">
        <v>54</v>
      </c>
      <c r="C162" s="2">
        <v>2017.0</v>
      </c>
      <c r="D162" s="2" t="s">
        <v>50</v>
      </c>
      <c r="E162" s="2" t="s">
        <v>20</v>
      </c>
      <c r="F162" s="2">
        <v>84.74</v>
      </c>
      <c r="G162" s="2">
        <v>86.27</v>
      </c>
      <c r="H162" s="2">
        <v>81.59</v>
      </c>
      <c r="I162" s="2">
        <v>77.89</v>
      </c>
      <c r="J162" s="2">
        <v>82.62</v>
      </c>
      <c r="K162" s="2">
        <v>17.38</v>
      </c>
      <c r="L162" s="2" t="s">
        <v>97</v>
      </c>
      <c r="M162" s="2">
        <v>45553.93</v>
      </c>
      <c r="N162" s="2" t="str">
        <f t="shared" si="1"/>
        <v>Low Risk</v>
      </c>
      <c r="O162" s="2" t="b">
        <f>AND(OR($D162=T1_Region,T1_Region="All Regions"),OR($E162=T1_Income,T1_Income="All Income Groups"))</f>
        <v>1</v>
      </c>
    </row>
    <row r="163" ht="15.0" customHeight="1">
      <c r="A163" s="2" t="s">
        <v>53</v>
      </c>
      <c r="B163" s="2" t="s">
        <v>54</v>
      </c>
      <c r="C163" s="2">
        <v>2018.0</v>
      </c>
      <c r="D163" s="2" t="s">
        <v>50</v>
      </c>
      <c r="E163" s="2" t="s">
        <v>20</v>
      </c>
      <c r="F163" s="2">
        <v>86.67</v>
      </c>
      <c r="G163" s="2">
        <v>86.49</v>
      </c>
      <c r="H163" s="2">
        <v>81.35</v>
      </c>
      <c r="I163" s="2">
        <v>79.97</v>
      </c>
      <c r="J163" s="2">
        <v>83.62</v>
      </c>
      <c r="K163" s="2">
        <v>16.38</v>
      </c>
      <c r="L163" s="2" t="s">
        <v>97</v>
      </c>
      <c r="M163" s="2">
        <v>48916.17</v>
      </c>
      <c r="N163" s="2" t="str">
        <f t="shared" si="1"/>
        <v>Low Risk</v>
      </c>
      <c r="O163" s="2" t="b">
        <f>AND(OR($D163=T1_Region,T1_Region="All Regions"),OR($E163=T1_Income,T1_Income="All Income Groups"))</f>
        <v>1</v>
      </c>
    </row>
    <row r="164" ht="15.0" customHeight="1">
      <c r="A164" s="2" t="s">
        <v>53</v>
      </c>
      <c r="B164" s="2" t="s">
        <v>54</v>
      </c>
      <c r="C164" s="2">
        <v>2019.0</v>
      </c>
      <c r="D164" s="2" t="s">
        <v>50</v>
      </c>
      <c r="E164" s="2" t="s">
        <v>20</v>
      </c>
      <c r="F164" s="2">
        <v>85.85</v>
      </c>
      <c r="G164" s="2">
        <v>86.35</v>
      </c>
      <c r="H164" s="2">
        <v>81.12</v>
      </c>
      <c r="I164" s="2">
        <v>78.32</v>
      </c>
      <c r="J164" s="2">
        <v>82.91</v>
      </c>
      <c r="K164" s="2">
        <v>17.09</v>
      </c>
      <c r="L164" s="2" t="s">
        <v>97</v>
      </c>
      <c r="M164" s="2">
        <v>47656.2</v>
      </c>
      <c r="N164" s="2" t="str">
        <f t="shared" si="1"/>
        <v>Low Risk</v>
      </c>
      <c r="O164" s="2" t="b">
        <f>AND(OR($D164=T1_Region,T1_Region="All Regions"),OR($E164=T1_Income,T1_Income="All Income Groups"))</f>
        <v>1</v>
      </c>
    </row>
    <row r="165" ht="15.0" customHeight="1">
      <c r="A165" s="2" t="s">
        <v>53</v>
      </c>
      <c r="B165" s="2" t="s">
        <v>54</v>
      </c>
      <c r="C165" s="2">
        <v>2020.0</v>
      </c>
      <c r="D165" s="2" t="s">
        <v>50</v>
      </c>
      <c r="E165" s="2" t="s">
        <v>20</v>
      </c>
      <c r="F165" s="2">
        <v>85.73</v>
      </c>
      <c r="G165" s="2">
        <v>84.97</v>
      </c>
      <c r="H165" s="2">
        <v>79.5</v>
      </c>
      <c r="I165" s="2">
        <v>77.58</v>
      </c>
      <c r="J165" s="2">
        <v>81.95</v>
      </c>
      <c r="K165" s="2">
        <v>18.05</v>
      </c>
      <c r="L165" s="2" t="s">
        <v>97</v>
      </c>
      <c r="M165" s="2">
        <v>47394.87</v>
      </c>
      <c r="N165" s="2" t="str">
        <f t="shared" si="1"/>
        <v>Low Risk</v>
      </c>
      <c r="O165" s="2" t="b">
        <f>AND(OR($D165=T1_Region,T1_Region="All Regions"),OR($E165=T1_Income,T1_Income="All Income Groups"))</f>
        <v>1</v>
      </c>
    </row>
    <row r="166" ht="15.0" customHeight="1">
      <c r="A166" s="2" t="s">
        <v>53</v>
      </c>
      <c r="B166" s="2" t="s">
        <v>54</v>
      </c>
      <c r="C166" s="2">
        <v>2021.0</v>
      </c>
      <c r="D166" s="2" t="s">
        <v>50</v>
      </c>
      <c r="E166" s="2" t="s">
        <v>20</v>
      </c>
      <c r="F166" s="2">
        <v>84.78</v>
      </c>
      <c r="G166" s="2">
        <v>85.1</v>
      </c>
      <c r="H166" s="2">
        <v>80.3</v>
      </c>
      <c r="I166" s="2">
        <v>77.17</v>
      </c>
      <c r="J166" s="2">
        <v>81.84</v>
      </c>
      <c r="K166" s="2">
        <v>18.16</v>
      </c>
      <c r="L166" s="2" t="s">
        <v>97</v>
      </c>
      <c r="M166" s="2">
        <v>52349.25</v>
      </c>
      <c r="N166" s="2" t="str">
        <f t="shared" si="1"/>
        <v>Low Risk</v>
      </c>
      <c r="O166" s="2" t="b">
        <f>AND(OR($D166=T1_Region,T1_Region="All Regions"),OR($E166=T1_Income,T1_Income="All Income Groups"))</f>
        <v>1</v>
      </c>
    </row>
    <row r="167" ht="15.0" customHeight="1">
      <c r="A167" s="2" t="s">
        <v>53</v>
      </c>
      <c r="B167" s="2" t="s">
        <v>54</v>
      </c>
      <c r="C167" s="2">
        <v>2022.0</v>
      </c>
      <c r="D167" s="2" t="s">
        <v>50</v>
      </c>
      <c r="E167" s="2" t="s">
        <v>20</v>
      </c>
      <c r="F167" s="2">
        <v>84.74</v>
      </c>
      <c r="G167" s="2">
        <v>84.18</v>
      </c>
      <c r="H167" s="2">
        <v>79.52</v>
      </c>
      <c r="I167" s="2">
        <v>74.92</v>
      </c>
      <c r="J167" s="2">
        <v>80.84</v>
      </c>
      <c r="K167" s="2">
        <v>19.16</v>
      </c>
      <c r="L167" s="2" t="s">
        <v>97</v>
      </c>
      <c r="M167" s="2">
        <v>50506.52</v>
      </c>
      <c r="N167" s="2" t="str">
        <f t="shared" si="1"/>
        <v>Low Risk</v>
      </c>
      <c r="O167" s="2" t="b">
        <f>AND(OR($D167=T1_Region,T1_Region="All Regions"),OR($E167=T1_Income,T1_Income="All Income Groups"))</f>
        <v>1</v>
      </c>
    </row>
    <row r="168" ht="15.0" customHeight="1">
      <c r="A168" s="2" t="s">
        <v>53</v>
      </c>
      <c r="B168" s="2" t="s">
        <v>54</v>
      </c>
      <c r="C168" s="2">
        <v>2023.0</v>
      </c>
      <c r="D168" s="2" t="s">
        <v>50</v>
      </c>
      <c r="E168" s="2" t="s">
        <v>20</v>
      </c>
      <c r="F168" s="2">
        <v>82.25</v>
      </c>
      <c r="G168" s="2">
        <v>84.25</v>
      </c>
      <c r="H168" s="2">
        <v>78.11</v>
      </c>
      <c r="I168" s="2">
        <v>74.54</v>
      </c>
      <c r="J168" s="2">
        <v>79.79</v>
      </c>
      <c r="K168" s="2">
        <v>20.21</v>
      </c>
      <c r="L168" s="2" t="s">
        <v>97</v>
      </c>
      <c r="M168" s="2">
        <v>54776.77</v>
      </c>
      <c r="N168" s="2" t="str">
        <f t="shared" si="1"/>
        <v>Low Risk</v>
      </c>
      <c r="O168" s="2" t="b">
        <f>AND(OR($D168=T1_Region,T1_Region="All Regions"),OR($E168=T1_Income,T1_Income="All Income Groups"))</f>
        <v>1</v>
      </c>
    </row>
    <row r="169" ht="15.0" customHeight="1">
      <c r="A169" s="2" t="s">
        <v>53</v>
      </c>
      <c r="B169" s="2" t="s">
        <v>54</v>
      </c>
      <c r="C169" s="2">
        <v>2024.0</v>
      </c>
      <c r="D169" s="2" t="s">
        <v>50</v>
      </c>
      <c r="E169" s="2" t="s">
        <v>20</v>
      </c>
      <c r="F169" s="2">
        <v>83.75</v>
      </c>
      <c r="G169" s="2">
        <v>84.95</v>
      </c>
      <c r="H169" s="2">
        <v>78.49</v>
      </c>
      <c r="I169" s="2">
        <v>68.02</v>
      </c>
      <c r="J169" s="2">
        <v>78.8</v>
      </c>
      <c r="K169" s="2">
        <v>21.2</v>
      </c>
      <c r="L169" s="2" t="s">
        <v>97</v>
      </c>
      <c r="M169" s="2">
        <v>56103.73</v>
      </c>
      <c r="N169" s="2" t="str">
        <f t="shared" si="1"/>
        <v>Low Risk</v>
      </c>
      <c r="O169" s="2" t="b">
        <f>AND(OR($D169=T1_Region,T1_Region="All Regions"),OR($E169=T1_Income,T1_Income="All Income Groups"))</f>
        <v>1</v>
      </c>
    </row>
    <row r="170" ht="15.0" customHeight="1">
      <c r="A170" s="2" t="s">
        <v>55</v>
      </c>
      <c r="B170" s="2" t="s">
        <v>56</v>
      </c>
      <c r="C170" s="2">
        <v>2013.0</v>
      </c>
      <c r="D170" s="2" t="s">
        <v>50</v>
      </c>
      <c r="E170" s="2" t="s">
        <v>20</v>
      </c>
      <c r="F170" s="2">
        <v>50.08</v>
      </c>
      <c r="G170" s="2">
        <v>63.76</v>
      </c>
      <c r="H170" s="2">
        <v>59.2</v>
      </c>
      <c r="I170" s="2">
        <v>63.29</v>
      </c>
      <c r="J170" s="2">
        <v>59.08</v>
      </c>
      <c r="K170" s="2">
        <v>40.92</v>
      </c>
      <c r="L170" s="2" t="s">
        <v>29</v>
      </c>
      <c r="M170" s="2">
        <v>21573.34</v>
      </c>
      <c r="N170" s="2" t="str">
        <f t="shared" si="1"/>
        <v>Medium Risk</v>
      </c>
      <c r="O170" s="2" t="b">
        <f>AND(OR($D170=T1_Region,T1_Region="All Regions"),OR($E170=T1_Income,T1_Income="All Income Groups"))</f>
        <v>1</v>
      </c>
    </row>
    <row r="171" ht="15.0" customHeight="1">
      <c r="A171" s="2" t="s">
        <v>55</v>
      </c>
      <c r="B171" s="2" t="s">
        <v>56</v>
      </c>
      <c r="C171" s="2">
        <v>2014.0</v>
      </c>
      <c r="D171" s="2" t="s">
        <v>50</v>
      </c>
      <c r="E171" s="2" t="s">
        <v>20</v>
      </c>
      <c r="F171" s="2">
        <v>47.89</v>
      </c>
      <c r="G171" s="2">
        <v>63.18</v>
      </c>
      <c r="H171" s="2">
        <v>57.29</v>
      </c>
      <c r="I171" s="2">
        <v>64.7</v>
      </c>
      <c r="J171" s="2">
        <v>58.26</v>
      </c>
      <c r="K171" s="2">
        <v>41.74</v>
      </c>
      <c r="L171" s="2" t="s">
        <v>29</v>
      </c>
      <c r="M171" s="2">
        <v>21474.73</v>
      </c>
      <c r="N171" s="2" t="str">
        <f t="shared" si="1"/>
        <v>Medium Risk</v>
      </c>
      <c r="O171" s="2" t="b">
        <f>AND(OR($D171=T1_Region,T1_Region="All Regions"),OR($E171=T1_Income,T1_Income="All Income Groups"))</f>
        <v>1</v>
      </c>
    </row>
    <row r="172" ht="15.0" customHeight="1">
      <c r="A172" s="2" t="s">
        <v>55</v>
      </c>
      <c r="B172" s="2" t="s">
        <v>56</v>
      </c>
      <c r="C172" s="2">
        <v>2015.0</v>
      </c>
      <c r="D172" s="2" t="s">
        <v>50</v>
      </c>
      <c r="E172" s="2" t="s">
        <v>20</v>
      </c>
      <c r="F172" s="2">
        <v>48.3</v>
      </c>
      <c r="G172" s="2">
        <v>62.81</v>
      </c>
      <c r="H172" s="2">
        <v>58.59</v>
      </c>
      <c r="I172" s="2">
        <v>63.84</v>
      </c>
      <c r="J172" s="2">
        <v>58.39</v>
      </c>
      <c r="K172" s="2">
        <v>41.61</v>
      </c>
      <c r="L172" s="2" t="s">
        <v>29</v>
      </c>
      <c r="M172" s="2">
        <v>17980.73</v>
      </c>
      <c r="N172" s="2" t="str">
        <f t="shared" si="1"/>
        <v>Medium Risk</v>
      </c>
      <c r="O172" s="2" t="b">
        <f>AND(OR($D172=T1_Region,T1_Region="All Regions"),OR($E172=T1_Income,T1_Income="All Income Groups"))</f>
        <v>1</v>
      </c>
    </row>
    <row r="173" ht="15.0" customHeight="1">
      <c r="A173" s="2" t="s">
        <v>55</v>
      </c>
      <c r="B173" s="2" t="s">
        <v>56</v>
      </c>
      <c r="C173" s="2">
        <v>2016.0</v>
      </c>
      <c r="D173" s="2" t="s">
        <v>50</v>
      </c>
      <c r="E173" s="2" t="s">
        <v>20</v>
      </c>
      <c r="F173" s="2">
        <v>49.65</v>
      </c>
      <c r="G173" s="2">
        <v>61.52</v>
      </c>
      <c r="H173" s="2">
        <v>57.24</v>
      </c>
      <c r="I173" s="2">
        <v>63.27</v>
      </c>
      <c r="J173" s="2">
        <v>57.92</v>
      </c>
      <c r="K173" s="2">
        <v>42.08</v>
      </c>
      <c r="L173" s="2" t="s">
        <v>29</v>
      </c>
      <c r="M173" s="2">
        <v>17919.24</v>
      </c>
      <c r="N173" s="2" t="str">
        <f t="shared" si="1"/>
        <v>Medium Risk</v>
      </c>
      <c r="O173" s="2" t="b">
        <f>AND(OR($D173=T1_Region,T1_Region="All Regions"),OR($E173=T1_Income,T1_Income="All Income Groups"))</f>
        <v>1</v>
      </c>
    </row>
    <row r="174" ht="15.0" customHeight="1">
      <c r="A174" s="2" t="s">
        <v>55</v>
      </c>
      <c r="B174" s="2" t="s">
        <v>56</v>
      </c>
      <c r="C174" s="2">
        <v>2017.0</v>
      </c>
      <c r="D174" s="2" t="s">
        <v>50</v>
      </c>
      <c r="E174" s="2" t="s">
        <v>20</v>
      </c>
      <c r="F174" s="2">
        <v>50.82</v>
      </c>
      <c r="G174" s="2">
        <v>61.75</v>
      </c>
      <c r="H174" s="2">
        <v>57.34</v>
      </c>
      <c r="I174" s="2">
        <v>66.01</v>
      </c>
      <c r="J174" s="2">
        <v>58.98</v>
      </c>
      <c r="K174" s="2">
        <v>41.02</v>
      </c>
      <c r="L174" s="2" t="s">
        <v>29</v>
      </c>
      <c r="M174" s="2">
        <v>18631.99</v>
      </c>
      <c r="N174" s="2" t="str">
        <f t="shared" si="1"/>
        <v>Medium Risk</v>
      </c>
      <c r="O174" s="2" t="b">
        <f>AND(OR($D174=T1_Region,T1_Region="All Regions"),OR($E174=T1_Income,T1_Income="All Income Groups"))</f>
        <v>1</v>
      </c>
    </row>
    <row r="175" ht="15.0" customHeight="1">
      <c r="A175" s="2" t="s">
        <v>55</v>
      </c>
      <c r="B175" s="2" t="s">
        <v>56</v>
      </c>
      <c r="C175" s="2">
        <v>2018.0</v>
      </c>
      <c r="D175" s="2" t="s">
        <v>50</v>
      </c>
      <c r="E175" s="2" t="s">
        <v>20</v>
      </c>
      <c r="F175" s="2">
        <v>52.73</v>
      </c>
      <c r="G175" s="2">
        <v>61.78</v>
      </c>
      <c r="H175" s="2">
        <v>59.39</v>
      </c>
      <c r="I175" s="2">
        <v>71.9</v>
      </c>
      <c r="J175" s="2">
        <v>61.45</v>
      </c>
      <c r="K175" s="2">
        <v>38.55</v>
      </c>
      <c r="L175" s="2" t="s">
        <v>97</v>
      </c>
      <c r="M175" s="2">
        <v>19873.4</v>
      </c>
      <c r="N175" s="2" t="str">
        <f t="shared" si="1"/>
        <v>Low Risk</v>
      </c>
      <c r="O175" s="2" t="b">
        <f>AND(OR($D175=T1_Region,T1_Region="All Regions"),OR($E175=T1_Income,T1_Income="All Income Groups"))</f>
        <v>1</v>
      </c>
    </row>
    <row r="176" ht="15.0" customHeight="1">
      <c r="A176" s="2" t="s">
        <v>55</v>
      </c>
      <c r="B176" s="2" t="s">
        <v>56</v>
      </c>
      <c r="C176" s="2">
        <v>2019.0</v>
      </c>
      <c r="D176" s="2" t="s">
        <v>50</v>
      </c>
      <c r="E176" s="2" t="s">
        <v>20</v>
      </c>
      <c r="F176" s="2">
        <v>54.01</v>
      </c>
      <c r="G176" s="2">
        <v>63.57</v>
      </c>
      <c r="H176" s="2">
        <v>61.47</v>
      </c>
      <c r="I176" s="2">
        <v>70.66</v>
      </c>
      <c r="J176" s="2">
        <v>62.43</v>
      </c>
      <c r="K176" s="2">
        <v>37.57</v>
      </c>
      <c r="L176" s="2" t="s">
        <v>97</v>
      </c>
      <c r="M176" s="2">
        <v>19335.36</v>
      </c>
      <c r="N176" s="2" t="str">
        <f t="shared" si="1"/>
        <v>Low Risk</v>
      </c>
      <c r="O176" s="2" t="b">
        <f>AND(OR($D176=T1_Region,T1_Region="All Regions"),OR($E176=T1_Income,T1_Income="All Income Groups"))</f>
        <v>1</v>
      </c>
    </row>
    <row r="177" ht="15.0" customHeight="1">
      <c r="A177" s="2" t="s">
        <v>55</v>
      </c>
      <c r="B177" s="2" t="s">
        <v>56</v>
      </c>
      <c r="C177" s="2">
        <v>2020.0</v>
      </c>
      <c r="D177" s="2" t="s">
        <v>50</v>
      </c>
      <c r="E177" s="2" t="s">
        <v>20</v>
      </c>
      <c r="F177" s="2">
        <v>53.54</v>
      </c>
      <c r="G177" s="2">
        <v>65.11</v>
      </c>
      <c r="H177" s="2">
        <v>61.83</v>
      </c>
      <c r="I177" s="2">
        <v>71.01</v>
      </c>
      <c r="J177" s="2">
        <v>62.87</v>
      </c>
      <c r="K177" s="2">
        <v>37.13</v>
      </c>
      <c r="L177" s="2" t="s">
        <v>97</v>
      </c>
      <c r="M177" s="2">
        <v>17886.73</v>
      </c>
      <c r="N177" s="2" t="str">
        <f t="shared" si="1"/>
        <v>Low Risk</v>
      </c>
      <c r="O177" s="2" t="b">
        <f>AND(OR($D177=T1_Region,T1_Region="All Regions"),OR($E177=T1_Income,T1_Income="All Income Groups"))</f>
        <v>1</v>
      </c>
    </row>
    <row r="178" ht="15.0" customHeight="1">
      <c r="A178" s="2" t="s">
        <v>55</v>
      </c>
      <c r="B178" s="2" t="s">
        <v>56</v>
      </c>
      <c r="C178" s="2">
        <v>2021.0</v>
      </c>
      <c r="D178" s="2" t="s">
        <v>50</v>
      </c>
      <c r="E178" s="2" t="s">
        <v>20</v>
      </c>
      <c r="F178" s="2">
        <v>55.77</v>
      </c>
      <c r="G178" s="2">
        <v>64.61</v>
      </c>
      <c r="H178" s="2">
        <v>61.11</v>
      </c>
      <c r="I178" s="2">
        <v>69.77</v>
      </c>
      <c r="J178" s="2">
        <v>62.82</v>
      </c>
      <c r="K178" s="2">
        <v>37.18</v>
      </c>
      <c r="L178" s="2" t="s">
        <v>97</v>
      </c>
      <c r="M178" s="2">
        <v>20652.9</v>
      </c>
      <c r="N178" s="2" t="str">
        <f t="shared" si="1"/>
        <v>Low Risk</v>
      </c>
      <c r="O178" s="2" t="b">
        <f>AND(OR($D178=T1_Region,T1_Region="All Regions"),OR($E178=T1_Income,T1_Income="All Income Groups"))</f>
        <v>1</v>
      </c>
    </row>
    <row r="179" ht="15.0" customHeight="1">
      <c r="A179" s="2" t="s">
        <v>55</v>
      </c>
      <c r="B179" s="2" t="s">
        <v>56</v>
      </c>
      <c r="C179" s="2">
        <v>2022.0</v>
      </c>
      <c r="D179" s="2" t="s">
        <v>50</v>
      </c>
      <c r="E179" s="2" t="s">
        <v>20</v>
      </c>
      <c r="F179" s="2">
        <v>54.38</v>
      </c>
      <c r="G179" s="2">
        <v>65.39</v>
      </c>
      <c r="H179" s="2">
        <v>61.51</v>
      </c>
      <c r="I179" s="2">
        <v>69.94</v>
      </c>
      <c r="J179" s="2">
        <v>62.8</v>
      </c>
      <c r="K179" s="2">
        <v>37.2</v>
      </c>
      <c r="L179" s="2" t="s">
        <v>97</v>
      </c>
      <c r="M179" s="2">
        <v>20884.68</v>
      </c>
      <c r="N179" s="2" t="str">
        <f t="shared" si="1"/>
        <v>Low Risk</v>
      </c>
      <c r="O179" s="2" t="b">
        <f>AND(OR($D179=T1_Region,T1_Region="All Regions"),OR($E179=T1_Income,T1_Income="All Income Groups"))</f>
        <v>1</v>
      </c>
    </row>
    <row r="180" ht="15.0" customHeight="1">
      <c r="A180" s="2" t="s">
        <v>55</v>
      </c>
      <c r="B180" s="2" t="s">
        <v>56</v>
      </c>
      <c r="C180" s="2">
        <v>2023.0</v>
      </c>
      <c r="D180" s="2" t="s">
        <v>50</v>
      </c>
      <c r="E180" s="2" t="s">
        <v>20</v>
      </c>
      <c r="F180" s="2">
        <v>54.52</v>
      </c>
      <c r="G180" s="2">
        <v>63.79</v>
      </c>
      <c r="H180" s="2">
        <v>62.98</v>
      </c>
      <c r="I180" s="2">
        <v>72.48</v>
      </c>
      <c r="J180" s="2">
        <v>63.44</v>
      </c>
      <c r="K180" s="2">
        <v>36.56</v>
      </c>
      <c r="L180" s="2" t="s">
        <v>97</v>
      </c>
      <c r="M180" s="2">
        <v>23343.71</v>
      </c>
      <c r="N180" s="2" t="str">
        <f t="shared" si="1"/>
        <v>Low Risk</v>
      </c>
      <c r="O180" s="2" t="b">
        <f>AND(OR($D180=T1_Region,T1_Region="All Regions"),OR($E180=T1_Income,T1_Income="All Income Groups"))</f>
        <v>1</v>
      </c>
    </row>
    <row r="181" ht="15.0" customHeight="1">
      <c r="A181" s="2" t="s">
        <v>55</v>
      </c>
      <c r="B181" s="2" t="s">
        <v>56</v>
      </c>
      <c r="C181" s="2">
        <v>2024.0</v>
      </c>
      <c r="D181" s="2" t="s">
        <v>50</v>
      </c>
      <c r="E181" s="2" t="s">
        <v>20</v>
      </c>
      <c r="F181" s="2">
        <v>53.92</v>
      </c>
      <c r="G181" s="2">
        <v>62.1</v>
      </c>
      <c r="H181" s="2">
        <v>62.43</v>
      </c>
      <c r="I181" s="2">
        <v>68.28</v>
      </c>
      <c r="J181" s="2">
        <v>61.68</v>
      </c>
      <c r="K181" s="2">
        <v>38.32</v>
      </c>
      <c r="L181" s="2" t="s">
        <v>97</v>
      </c>
      <c r="M181" s="2">
        <v>24626.15</v>
      </c>
      <c r="N181" s="2" t="str">
        <f t="shared" si="1"/>
        <v>Low Risk</v>
      </c>
      <c r="O181" s="2" t="b">
        <f>AND(OR($D181=T1_Region,T1_Region="All Regions"),OR($E181=T1_Income,T1_Income="All Income Groups"))</f>
        <v>1</v>
      </c>
    </row>
    <row r="182" ht="15.0" customHeight="1">
      <c r="A182" s="2" t="s">
        <v>57</v>
      </c>
      <c r="B182" s="2" t="s">
        <v>58</v>
      </c>
      <c r="C182" s="2">
        <v>2013.0</v>
      </c>
      <c r="D182" s="2" t="s">
        <v>25</v>
      </c>
      <c r="E182" s="2" t="s">
        <v>26</v>
      </c>
      <c r="F182" s="2">
        <v>38.33</v>
      </c>
      <c r="G182" s="2">
        <v>54.97</v>
      </c>
      <c r="H182" s="2">
        <v>48.99</v>
      </c>
      <c r="I182" s="2">
        <v>45.89</v>
      </c>
      <c r="J182" s="2">
        <v>47.04</v>
      </c>
      <c r="K182" s="2">
        <v>52.96</v>
      </c>
      <c r="L182" s="2" t="s">
        <v>29</v>
      </c>
      <c r="M182" s="2">
        <v>1432.84</v>
      </c>
      <c r="N182" s="2" t="str">
        <f t="shared" si="1"/>
        <v>Medium Risk</v>
      </c>
      <c r="O182" s="2" t="b">
        <f>AND(OR($D182=T1_Region,T1_Region="All Regions"),OR($E182=T1_Income,T1_Income="All Income Groups"))</f>
        <v>1</v>
      </c>
    </row>
    <row r="183" ht="15.0" customHeight="1">
      <c r="A183" s="2" t="s">
        <v>57</v>
      </c>
      <c r="B183" s="2" t="s">
        <v>58</v>
      </c>
      <c r="C183" s="2">
        <v>2014.0</v>
      </c>
      <c r="D183" s="2" t="s">
        <v>25</v>
      </c>
      <c r="E183" s="2" t="s">
        <v>26</v>
      </c>
      <c r="F183" s="2">
        <v>39.48</v>
      </c>
      <c r="G183" s="2">
        <v>54.11</v>
      </c>
      <c r="H183" s="2">
        <v>48.86</v>
      </c>
      <c r="I183" s="2">
        <v>51.93</v>
      </c>
      <c r="J183" s="2">
        <v>48.59</v>
      </c>
      <c r="K183" s="2">
        <v>51.41</v>
      </c>
      <c r="L183" s="2" t="s">
        <v>29</v>
      </c>
      <c r="M183" s="2">
        <v>1553.88</v>
      </c>
      <c r="N183" s="2" t="str">
        <f t="shared" si="1"/>
        <v>Medium Risk</v>
      </c>
      <c r="O183" s="2" t="b">
        <f>AND(OR($D183=T1_Region,T1_Region="All Regions"),OR($E183=T1_Income,T1_Income="All Income Groups"))</f>
        <v>1</v>
      </c>
    </row>
    <row r="184" ht="15.0" customHeight="1">
      <c r="A184" s="2" t="s">
        <v>57</v>
      </c>
      <c r="B184" s="2" t="s">
        <v>58</v>
      </c>
      <c r="C184" s="2">
        <v>2015.0</v>
      </c>
      <c r="D184" s="2" t="s">
        <v>25</v>
      </c>
      <c r="E184" s="2" t="s">
        <v>26</v>
      </c>
      <c r="F184" s="2">
        <v>40.87</v>
      </c>
      <c r="G184" s="2">
        <v>54.6</v>
      </c>
      <c r="H184" s="2">
        <v>49.65</v>
      </c>
      <c r="I184" s="2">
        <v>52.88</v>
      </c>
      <c r="J184" s="2">
        <v>49.5</v>
      </c>
      <c r="K184" s="2">
        <v>50.5</v>
      </c>
      <c r="L184" s="2" t="s">
        <v>29</v>
      </c>
      <c r="M184" s="2">
        <v>1584.0</v>
      </c>
      <c r="N184" s="2" t="str">
        <f t="shared" si="1"/>
        <v>Medium Risk</v>
      </c>
      <c r="O184" s="2" t="b">
        <f>AND(OR($D184=T1_Region,T1_Region="All Regions"),OR($E184=T1_Income,T1_Income="All Income Groups"))</f>
        <v>1</v>
      </c>
    </row>
    <row r="185" ht="15.0" customHeight="1">
      <c r="A185" s="2" t="s">
        <v>57</v>
      </c>
      <c r="B185" s="2" t="s">
        <v>58</v>
      </c>
      <c r="C185" s="2">
        <v>2016.0</v>
      </c>
      <c r="D185" s="2" t="s">
        <v>25</v>
      </c>
      <c r="E185" s="2" t="s">
        <v>26</v>
      </c>
      <c r="F185" s="2">
        <v>42.08</v>
      </c>
      <c r="G185" s="2">
        <v>55.55</v>
      </c>
      <c r="H185" s="2">
        <v>50.86</v>
      </c>
      <c r="I185" s="2">
        <v>53.32</v>
      </c>
      <c r="J185" s="2">
        <v>50.45</v>
      </c>
      <c r="K185" s="2">
        <v>49.55</v>
      </c>
      <c r="L185" s="2" t="s">
        <v>29</v>
      </c>
      <c r="M185" s="2">
        <v>1707.51</v>
      </c>
      <c r="N185" s="2" t="str">
        <f t="shared" si="1"/>
        <v>Medium Risk</v>
      </c>
      <c r="O185" s="2" t="b">
        <f>AND(OR($D185=T1_Region,T1_Region="All Regions"),OR($E185=T1_Income,T1_Income="All Income Groups"))</f>
        <v>1</v>
      </c>
    </row>
    <row r="186" ht="15.0" customHeight="1">
      <c r="A186" s="2" t="s">
        <v>57</v>
      </c>
      <c r="B186" s="2" t="s">
        <v>58</v>
      </c>
      <c r="C186" s="2">
        <v>2017.0</v>
      </c>
      <c r="D186" s="2" t="s">
        <v>25</v>
      </c>
      <c r="E186" s="2" t="s">
        <v>26</v>
      </c>
      <c r="F186" s="2">
        <v>43.31</v>
      </c>
      <c r="G186" s="2">
        <v>56.28</v>
      </c>
      <c r="H186" s="2">
        <v>51.46</v>
      </c>
      <c r="I186" s="2">
        <v>56.12</v>
      </c>
      <c r="J186" s="2">
        <v>51.79</v>
      </c>
      <c r="K186" s="2">
        <v>48.21</v>
      </c>
      <c r="L186" s="2" t="s">
        <v>29</v>
      </c>
      <c r="M186" s="2">
        <v>1950.1</v>
      </c>
      <c r="N186" s="2" t="str">
        <f t="shared" si="1"/>
        <v>Medium Risk</v>
      </c>
      <c r="O186" s="2" t="b">
        <f>AND(OR($D186=T1_Region,T1_Region="All Regions"),OR($E186=T1_Income,T1_Income="All Income Groups"))</f>
        <v>1</v>
      </c>
    </row>
    <row r="187" ht="15.0" customHeight="1">
      <c r="A187" s="2" t="s">
        <v>57</v>
      </c>
      <c r="B187" s="2" t="s">
        <v>58</v>
      </c>
      <c r="C187" s="2">
        <v>2018.0</v>
      </c>
      <c r="D187" s="2" t="s">
        <v>25</v>
      </c>
      <c r="E187" s="2" t="s">
        <v>26</v>
      </c>
      <c r="F187" s="2">
        <v>43.65</v>
      </c>
      <c r="G187" s="2">
        <v>57.31</v>
      </c>
      <c r="H187" s="2">
        <v>52.41</v>
      </c>
      <c r="I187" s="2">
        <v>54.3</v>
      </c>
      <c r="J187" s="2">
        <v>51.92</v>
      </c>
      <c r="K187" s="2">
        <v>48.08</v>
      </c>
      <c r="L187" s="2" t="s">
        <v>29</v>
      </c>
      <c r="M187" s="2">
        <v>1966.25</v>
      </c>
      <c r="N187" s="2" t="str">
        <f t="shared" si="1"/>
        <v>Medium Risk</v>
      </c>
      <c r="O187" s="2" t="b">
        <f>AND(OR($D187=T1_Region,T1_Region="All Regions"),OR($E187=T1_Income,T1_Income="All Income Groups"))</f>
        <v>1</v>
      </c>
    </row>
    <row r="188" ht="15.0" customHeight="1">
      <c r="A188" s="2" t="s">
        <v>57</v>
      </c>
      <c r="B188" s="2" t="s">
        <v>58</v>
      </c>
      <c r="C188" s="2">
        <v>2019.0</v>
      </c>
      <c r="D188" s="2" t="s">
        <v>25</v>
      </c>
      <c r="E188" s="2" t="s">
        <v>26</v>
      </c>
      <c r="F188" s="2">
        <v>43.44</v>
      </c>
      <c r="G188" s="2">
        <v>56.62</v>
      </c>
      <c r="H188" s="2">
        <v>53.32</v>
      </c>
      <c r="I188" s="2">
        <v>55.81</v>
      </c>
      <c r="J188" s="2">
        <v>52.29</v>
      </c>
      <c r="K188" s="2">
        <v>47.71</v>
      </c>
      <c r="L188" s="2" t="s">
        <v>29</v>
      </c>
      <c r="M188" s="2">
        <v>2041.43</v>
      </c>
      <c r="N188" s="2" t="str">
        <f t="shared" si="1"/>
        <v>Medium Risk</v>
      </c>
      <c r="O188" s="2" t="b">
        <f>AND(OR($D188=T1_Region,T1_Region="All Regions"),OR($E188=T1_Income,T1_Income="All Income Groups"))</f>
        <v>1</v>
      </c>
    </row>
    <row r="189" ht="15.0" customHeight="1">
      <c r="A189" s="2" t="s">
        <v>57</v>
      </c>
      <c r="B189" s="2" t="s">
        <v>58</v>
      </c>
      <c r="C189" s="2">
        <v>2020.0</v>
      </c>
      <c r="D189" s="2" t="s">
        <v>25</v>
      </c>
      <c r="E189" s="2" t="s">
        <v>26</v>
      </c>
      <c r="F189" s="2">
        <v>42.7</v>
      </c>
      <c r="G189" s="2">
        <v>55.19</v>
      </c>
      <c r="H189" s="2">
        <v>52.52</v>
      </c>
      <c r="I189" s="2">
        <v>53.58</v>
      </c>
      <c r="J189" s="2">
        <v>51.0</v>
      </c>
      <c r="K189" s="2">
        <v>49.0</v>
      </c>
      <c r="L189" s="2" t="s">
        <v>29</v>
      </c>
      <c r="M189" s="2">
        <v>1907.04</v>
      </c>
      <c r="N189" s="2" t="str">
        <f t="shared" si="1"/>
        <v>Medium Risk</v>
      </c>
      <c r="O189" s="2" t="b">
        <f>AND(OR($D189=T1_Region,T1_Region="All Regions"),OR($E189=T1_Income,T1_Income="All Income Groups"))</f>
        <v>1</v>
      </c>
    </row>
    <row r="190" ht="15.0" customHeight="1">
      <c r="A190" s="2" t="s">
        <v>57</v>
      </c>
      <c r="B190" s="2" t="s">
        <v>58</v>
      </c>
      <c r="C190" s="2">
        <v>2021.0</v>
      </c>
      <c r="D190" s="2" t="s">
        <v>25</v>
      </c>
      <c r="E190" s="2" t="s">
        <v>26</v>
      </c>
      <c r="F190" s="2">
        <v>41.77</v>
      </c>
      <c r="G190" s="2">
        <v>53.8</v>
      </c>
      <c r="H190" s="2">
        <v>52.18</v>
      </c>
      <c r="I190" s="2">
        <v>55.62</v>
      </c>
      <c r="J190" s="2">
        <v>50.84</v>
      </c>
      <c r="K190" s="2">
        <v>49.16</v>
      </c>
      <c r="L190" s="2" t="s">
        <v>29</v>
      </c>
      <c r="M190" s="2">
        <v>2239.61</v>
      </c>
      <c r="N190" s="2" t="str">
        <f t="shared" si="1"/>
        <v>Medium Risk</v>
      </c>
      <c r="O190" s="2" t="b">
        <f>AND(OR($D190=T1_Region,T1_Region="All Regions"),OR($E190=T1_Income,T1_Income="All Income Groups"))</f>
        <v>1</v>
      </c>
    </row>
    <row r="191" ht="15.0" customHeight="1">
      <c r="A191" s="2" t="s">
        <v>57</v>
      </c>
      <c r="B191" s="2" t="s">
        <v>58</v>
      </c>
      <c r="C191" s="2">
        <v>2022.0</v>
      </c>
      <c r="D191" s="2" t="s">
        <v>25</v>
      </c>
      <c r="E191" s="2" t="s">
        <v>26</v>
      </c>
      <c r="F191" s="2">
        <v>41.93</v>
      </c>
      <c r="G191" s="2">
        <v>55.06</v>
      </c>
      <c r="H191" s="2">
        <v>53.48</v>
      </c>
      <c r="I191" s="2">
        <v>53.02</v>
      </c>
      <c r="J191" s="2">
        <v>50.88</v>
      </c>
      <c r="K191" s="2">
        <v>49.12</v>
      </c>
      <c r="L191" s="2" t="s">
        <v>29</v>
      </c>
      <c r="M191" s="2">
        <v>2279.98</v>
      </c>
      <c r="N191" s="2" t="str">
        <f t="shared" si="1"/>
        <v>Medium Risk</v>
      </c>
      <c r="O191" s="2" t="b">
        <f>AND(OR($D191=T1_Region,T1_Region="All Regions"),OR($E191=T1_Income,T1_Income="All Income Groups"))</f>
        <v>1</v>
      </c>
    </row>
    <row r="192" ht="15.0" customHeight="1">
      <c r="A192" s="2" t="s">
        <v>57</v>
      </c>
      <c r="B192" s="2" t="s">
        <v>58</v>
      </c>
      <c r="C192" s="2">
        <v>2023.0</v>
      </c>
      <c r="D192" s="2" t="s">
        <v>25</v>
      </c>
      <c r="E192" s="2" t="s">
        <v>26</v>
      </c>
      <c r="F192" s="2">
        <v>41.07</v>
      </c>
      <c r="G192" s="2">
        <v>55.45</v>
      </c>
      <c r="H192" s="2">
        <v>52.86</v>
      </c>
      <c r="I192" s="2">
        <v>51.58</v>
      </c>
      <c r="J192" s="2">
        <v>50.24</v>
      </c>
      <c r="K192" s="2">
        <v>49.76</v>
      </c>
      <c r="L192" s="2" t="s">
        <v>29</v>
      </c>
      <c r="M192" s="2">
        <v>2434.45</v>
      </c>
      <c r="N192" s="2" t="str">
        <f t="shared" si="1"/>
        <v>Medium Risk</v>
      </c>
      <c r="O192" s="2" t="b">
        <f>AND(OR($D192=T1_Region,T1_Region="All Regions"),OR($E192=T1_Income,T1_Income="All Income Groups"))</f>
        <v>1</v>
      </c>
    </row>
    <row r="193" ht="15.0" customHeight="1">
      <c r="A193" s="2" t="s">
        <v>57</v>
      </c>
      <c r="B193" s="2" t="s">
        <v>58</v>
      </c>
      <c r="C193" s="2">
        <v>2024.0</v>
      </c>
      <c r="D193" s="2" t="s">
        <v>25</v>
      </c>
      <c r="E193" s="2" t="s">
        <v>26</v>
      </c>
      <c r="F193" s="2">
        <v>41.88</v>
      </c>
      <c r="G193" s="2">
        <v>56.29</v>
      </c>
      <c r="H193" s="2">
        <v>53.35</v>
      </c>
      <c r="I193" s="2">
        <v>52.47</v>
      </c>
      <c r="J193" s="2">
        <v>51.0</v>
      </c>
      <c r="K193" s="2">
        <v>49.0</v>
      </c>
      <c r="L193" s="2" t="s">
        <v>29</v>
      </c>
      <c r="M193" s="2">
        <v>2591.99</v>
      </c>
      <c r="N193" s="2" t="str">
        <f t="shared" si="1"/>
        <v>Medium Risk</v>
      </c>
      <c r="O193" s="2" t="b">
        <f>AND(OR($D193=T1_Region,T1_Region="All Regions"),OR($E193=T1_Income,T1_Income="All Income Groups"))</f>
        <v>1</v>
      </c>
    </row>
    <row r="194" ht="15.0" customHeight="1">
      <c r="A194" s="2" t="s">
        <v>59</v>
      </c>
      <c r="B194" s="2" t="s">
        <v>60</v>
      </c>
      <c r="C194" s="2">
        <v>2013.0</v>
      </c>
      <c r="D194" s="2" t="s">
        <v>19</v>
      </c>
      <c r="E194" s="2" t="s">
        <v>26</v>
      </c>
      <c r="F194" s="2">
        <v>33.12</v>
      </c>
      <c r="G194" s="2">
        <v>49.74</v>
      </c>
      <c r="H194" s="2">
        <v>54.1</v>
      </c>
      <c r="I194" s="2">
        <v>55.34</v>
      </c>
      <c r="J194" s="2">
        <v>48.07</v>
      </c>
      <c r="K194" s="2">
        <v>51.93</v>
      </c>
      <c r="L194" s="2" t="s">
        <v>29</v>
      </c>
      <c r="M194" s="2">
        <v>3566.6</v>
      </c>
      <c r="N194" s="2" t="str">
        <f t="shared" si="1"/>
        <v>Medium Risk</v>
      </c>
      <c r="O194" s="2" t="b">
        <f>AND(OR($D194=T1_Region,T1_Region="All Regions"),OR($E194=T1_Income,T1_Income="All Income Groups"))</f>
        <v>1</v>
      </c>
    </row>
    <row r="195" ht="15.0" customHeight="1">
      <c r="A195" s="2" t="s">
        <v>59</v>
      </c>
      <c r="B195" s="2" t="s">
        <v>60</v>
      </c>
      <c r="C195" s="2">
        <v>2014.0</v>
      </c>
      <c r="D195" s="2" t="s">
        <v>19</v>
      </c>
      <c r="E195" s="2" t="s">
        <v>26</v>
      </c>
      <c r="F195" s="2">
        <v>33.38</v>
      </c>
      <c r="G195" s="2">
        <v>51.14</v>
      </c>
      <c r="H195" s="2">
        <v>54.91</v>
      </c>
      <c r="I195" s="2">
        <v>59.32</v>
      </c>
      <c r="J195" s="2">
        <v>49.69</v>
      </c>
      <c r="K195" s="2">
        <v>50.31</v>
      </c>
      <c r="L195" s="2" t="s">
        <v>29</v>
      </c>
      <c r="M195" s="2">
        <v>3441.07</v>
      </c>
      <c r="N195" s="2" t="str">
        <f t="shared" si="1"/>
        <v>Medium Risk</v>
      </c>
      <c r="O195" s="2" t="b">
        <f>AND(OR($D195=T1_Region,T1_Region="All Regions"),OR($E195=T1_Income,T1_Income="All Income Groups"))</f>
        <v>1</v>
      </c>
    </row>
    <row r="196" ht="15.0" customHeight="1">
      <c r="A196" s="2" t="s">
        <v>59</v>
      </c>
      <c r="B196" s="2" t="s">
        <v>60</v>
      </c>
      <c r="C196" s="2">
        <v>2015.0</v>
      </c>
      <c r="D196" s="2" t="s">
        <v>19</v>
      </c>
      <c r="E196" s="2" t="s">
        <v>26</v>
      </c>
      <c r="F196" s="2">
        <v>37.27</v>
      </c>
      <c r="G196" s="2">
        <v>50.4</v>
      </c>
      <c r="H196" s="2">
        <v>52.66</v>
      </c>
      <c r="I196" s="2">
        <v>56.69</v>
      </c>
      <c r="J196" s="2">
        <v>49.26</v>
      </c>
      <c r="K196" s="2">
        <v>50.74</v>
      </c>
      <c r="L196" s="2" t="s">
        <v>29</v>
      </c>
      <c r="M196" s="2">
        <v>3288.22</v>
      </c>
      <c r="N196" s="2" t="str">
        <f t="shared" si="1"/>
        <v>Medium Risk</v>
      </c>
      <c r="O196" s="2" t="b">
        <f>AND(OR($D196=T1_Region,T1_Region="All Regions"),OR($E196=T1_Income,T1_Income="All Income Groups"))</f>
        <v>1</v>
      </c>
    </row>
    <row r="197" ht="15.0" customHeight="1">
      <c r="A197" s="2" t="s">
        <v>59</v>
      </c>
      <c r="B197" s="2" t="s">
        <v>60</v>
      </c>
      <c r="C197" s="2">
        <v>2016.0</v>
      </c>
      <c r="D197" s="2" t="s">
        <v>19</v>
      </c>
      <c r="E197" s="2" t="s">
        <v>26</v>
      </c>
      <c r="F197" s="2">
        <v>38.09</v>
      </c>
      <c r="G197" s="2">
        <v>51.43</v>
      </c>
      <c r="H197" s="2">
        <v>55.4</v>
      </c>
      <c r="I197" s="2">
        <v>57.98</v>
      </c>
      <c r="J197" s="2">
        <v>50.73</v>
      </c>
      <c r="K197" s="2">
        <v>49.27</v>
      </c>
      <c r="L197" s="2" t="s">
        <v>29</v>
      </c>
      <c r="M197" s="2">
        <v>3521.47</v>
      </c>
      <c r="N197" s="2" t="str">
        <f t="shared" si="1"/>
        <v>Medium Risk</v>
      </c>
      <c r="O197" s="2" t="b">
        <f>AND(OR($D197=T1_Region,T1_Region="All Regions"),OR($E197=T1_Income,T1_Income="All Income Groups"))</f>
        <v>1</v>
      </c>
    </row>
    <row r="198" ht="15.0" customHeight="1">
      <c r="A198" s="2" t="s">
        <v>59</v>
      </c>
      <c r="B198" s="2" t="s">
        <v>60</v>
      </c>
      <c r="C198" s="2">
        <v>2017.0</v>
      </c>
      <c r="D198" s="2" t="s">
        <v>19</v>
      </c>
      <c r="E198" s="2" t="s">
        <v>26</v>
      </c>
      <c r="F198" s="2">
        <v>40.23</v>
      </c>
      <c r="G198" s="2">
        <v>51.52</v>
      </c>
      <c r="H198" s="2">
        <v>56.44</v>
      </c>
      <c r="I198" s="2">
        <v>55.96</v>
      </c>
      <c r="J198" s="2">
        <v>51.04</v>
      </c>
      <c r="K198" s="2">
        <v>48.96</v>
      </c>
      <c r="L198" s="2" t="s">
        <v>29</v>
      </c>
      <c r="M198" s="2">
        <v>3798.88</v>
      </c>
      <c r="N198" s="2" t="str">
        <f t="shared" si="1"/>
        <v>Medium Risk</v>
      </c>
      <c r="O198" s="2" t="b">
        <f>AND(OR($D198=T1_Region,T1_Region="All Regions"),OR($E198=T1_Income,T1_Income="All Income Groups"))</f>
        <v>1</v>
      </c>
    </row>
    <row r="199" ht="15.0" customHeight="1">
      <c r="A199" s="2" t="s">
        <v>59</v>
      </c>
      <c r="B199" s="2" t="s">
        <v>60</v>
      </c>
      <c r="C199" s="2">
        <v>2018.0</v>
      </c>
      <c r="D199" s="2" t="s">
        <v>19</v>
      </c>
      <c r="E199" s="2" t="s">
        <v>26</v>
      </c>
      <c r="F199" s="2">
        <v>41.01</v>
      </c>
      <c r="G199" s="2">
        <v>53.18</v>
      </c>
      <c r="H199" s="2">
        <v>56.02</v>
      </c>
      <c r="I199" s="2">
        <v>56.62</v>
      </c>
      <c r="J199" s="2">
        <v>51.71</v>
      </c>
      <c r="K199" s="2">
        <v>48.29</v>
      </c>
      <c r="L199" s="2" t="s">
        <v>29</v>
      </c>
      <c r="M199" s="2">
        <v>3860.95</v>
      </c>
      <c r="N199" s="2" t="str">
        <f t="shared" si="1"/>
        <v>Medium Risk</v>
      </c>
      <c r="O199" s="2" t="b">
        <f>AND(OR($D199=T1_Region,T1_Region="All Regions"),OR($E199=T1_Income,T1_Income="All Income Groups"))</f>
        <v>1</v>
      </c>
    </row>
    <row r="200" ht="15.0" customHeight="1">
      <c r="A200" s="2" t="s">
        <v>59</v>
      </c>
      <c r="B200" s="2" t="s">
        <v>60</v>
      </c>
      <c r="C200" s="2">
        <v>2019.0</v>
      </c>
      <c r="D200" s="2" t="s">
        <v>19</v>
      </c>
      <c r="E200" s="2" t="s">
        <v>26</v>
      </c>
      <c r="F200" s="2">
        <v>39.19</v>
      </c>
      <c r="G200" s="2">
        <v>53.66</v>
      </c>
      <c r="H200" s="2">
        <v>56.61</v>
      </c>
      <c r="I200" s="2">
        <v>55.98</v>
      </c>
      <c r="J200" s="2">
        <v>51.36</v>
      </c>
      <c r="K200" s="2">
        <v>48.64</v>
      </c>
      <c r="L200" s="2" t="s">
        <v>29</v>
      </c>
      <c r="M200" s="2">
        <v>4106.95</v>
      </c>
      <c r="N200" s="2" t="str">
        <f t="shared" si="1"/>
        <v>Medium Risk</v>
      </c>
      <c r="O200" s="2" t="b">
        <f>AND(OR($D200=T1_Region,T1_Region="All Regions"),OR($E200=T1_Income,T1_Income="All Income Groups"))</f>
        <v>1</v>
      </c>
    </row>
    <row r="201" ht="15.0" customHeight="1">
      <c r="A201" s="2" t="s">
        <v>59</v>
      </c>
      <c r="B201" s="2" t="s">
        <v>60</v>
      </c>
      <c r="C201" s="2">
        <v>2020.0</v>
      </c>
      <c r="D201" s="2" t="s">
        <v>19</v>
      </c>
      <c r="E201" s="2" t="s">
        <v>26</v>
      </c>
      <c r="F201" s="2">
        <v>40.86</v>
      </c>
      <c r="G201" s="2">
        <v>54.42</v>
      </c>
      <c r="H201" s="2">
        <v>58.41</v>
      </c>
      <c r="I201" s="2">
        <v>56.67</v>
      </c>
      <c r="J201" s="2">
        <v>52.59</v>
      </c>
      <c r="K201" s="2">
        <v>47.41</v>
      </c>
      <c r="L201" s="2" t="s">
        <v>29</v>
      </c>
      <c r="M201" s="2">
        <v>3853.7</v>
      </c>
      <c r="N201" s="2" t="str">
        <f t="shared" si="1"/>
        <v>Medium Risk</v>
      </c>
      <c r="O201" s="2" t="b">
        <f>AND(OR($D201=T1_Region,T1_Region="All Regions"),OR($E201=T1_Income,T1_Income="All Income Groups"))</f>
        <v>1</v>
      </c>
    </row>
    <row r="202" ht="15.0" customHeight="1">
      <c r="A202" s="2" t="s">
        <v>59</v>
      </c>
      <c r="B202" s="2" t="s">
        <v>60</v>
      </c>
      <c r="C202" s="2">
        <v>2021.0</v>
      </c>
      <c r="D202" s="2" t="s">
        <v>19</v>
      </c>
      <c r="E202" s="2" t="s">
        <v>26</v>
      </c>
      <c r="F202" s="2">
        <v>39.43</v>
      </c>
      <c r="G202" s="2">
        <v>54.49</v>
      </c>
      <c r="H202" s="2">
        <v>60.26</v>
      </c>
      <c r="I202" s="2">
        <v>54.8</v>
      </c>
      <c r="J202" s="2">
        <v>52.24</v>
      </c>
      <c r="K202" s="2">
        <v>47.76</v>
      </c>
      <c r="L202" s="2" t="s">
        <v>29</v>
      </c>
      <c r="M202" s="2">
        <v>4287.17</v>
      </c>
      <c r="N202" s="2" t="str">
        <f t="shared" si="1"/>
        <v>Medium Risk</v>
      </c>
      <c r="O202" s="2" t="b">
        <f>AND(OR($D202=T1_Region,T1_Region="All Regions"),OR($E202=T1_Income,T1_Income="All Income Groups"))</f>
        <v>1</v>
      </c>
    </row>
    <row r="203" ht="15.0" customHeight="1">
      <c r="A203" s="2" t="s">
        <v>59</v>
      </c>
      <c r="B203" s="2" t="s">
        <v>60</v>
      </c>
      <c r="C203" s="2">
        <v>2022.0</v>
      </c>
      <c r="D203" s="2" t="s">
        <v>19</v>
      </c>
      <c r="E203" s="2" t="s">
        <v>26</v>
      </c>
      <c r="F203" s="2">
        <v>40.36</v>
      </c>
      <c r="G203" s="2">
        <v>54.74</v>
      </c>
      <c r="H203" s="2">
        <v>59.3</v>
      </c>
      <c r="I203" s="2">
        <v>52.87</v>
      </c>
      <c r="J203" s="2">
        <v>51.82</v>
      </c>
      <c r="K203" s="2">
        <v>48.18</v>
      </c>
      <c r="L203" s="2" t="s">
        <v>29</v>
      </c>
      <c r="M203" s="2">
        <v>4730.83</v>
      </c>
      <c r="N203" s="2" t="str">
        <f t="shared" si="1"/>
        <v>Medium Risk</v>
      </c>
      <c r="O203" s="2" t="b">
        <f>AND(OR($D203=T1_Region,T1_Region="All Regions"),OR($E203=T1_Income,T1_Income="All Income Groups"))</f>
        <v>1</v>
      </c>
    </row>
    <row r="204" ht="15.0" customHeight="1">
      <c r="A204" s="2" t="s">
        <v>59</v>
      </c>
      <c r="B204" s="2" t="s">
        <v>60</v>
      </c>
      <c r="C204" s="2">
        <v>2023.0</v>
      </c>
      <c r="D204" s="2" t="s">
        <v>19</v>
      </c>
      <c r="E204" s="2" t="s">
        <v>26</v>
      </c>
      <c r="F204" s="2">
        <v>38.88</v>
      </c>
      <c r="G204" s="2">
        <v>55.56</v>
      </c>
      <c r="H204" s="2">
        <v>60.24</v>
      </c>
      <c r="I204" s="2">
        <v>55.41</v>
      </c>
      <c r="J204" s="2">
        <v>52.52</v>
      </c>
      <c r="K204" s="2">
        <v>47.48</v>
      </c>
      <c r="L204" s="2" t="s">
        <v>29</v>
      </c>
      <c r="M204" s="2">
        <v>4876.3</v>
      </c>
      <c r="N204" s="2" t="str">
        <f t="shared" si="1"/>
        <v>Medium Risk</v>
      </c>
      <c r="O204" s="2" t="b">
        <f>AND(OR($D204=T1_Region,T1_Region="All Regions"),OR($E204=T1_Income,T1_Income="All Income Groups"))</f>
        <v>1</v>
      </c>
    </row>
    <row r="205" ht="15.0" customHeight="1">
      <c r="A205" s="2" t="s">
        <v>59</v>
      </c>
      <c r="B205" s="2" t="s">
        <v>60</v>
      </c>
      <c r="C205" s="2">
        <v>2024.0</v>
      </c>
      <c r="D205" s="2" t="s">
        <v>19</v>
      </c>
      <c r="E205" s="2" t="s">
        <v>26</v>
      </c>
      <c r="F205" s="2">
        <v>36.83</v>
      </c>
      <c r="G205" s="2">
        <v>53.41</v>
      </c>
      <c r="H205" s="2">
        <v>56.83</v>
      </c>
      <c r="I205" s="2">
        <v>55.49</v>
      </c>
      <c r="J205" s="2">
        <v>50.64</v>
      </c>
      <c r="K205" s="2">
        <v>49.36</v>
      </c>
      <c r="L205" s="2" t="s">
        <v>29</v>
      </c>
      <c r="M205" s="2">
        <v>4925.44</v>
      </c>
      <c r="N205" s="2" t="str">
        <f t="shared" si="1"/>
        <v>Medium Risk</v>
      </c>
      <c r="O205" s="2" t="b">
        <f>AND(OR($D205=T1_Region,T1_Region="All Regions"),OR($E205=T1_Income,T1_Income="All Income Groups"))</f>
        <v>1</v>
      </c>
    </row>
    <row r="206" ht="15.0" customHeight="1">
      <c r="A206" s="2" t="s">
        <v>61</v>
      </c>
      <c r="B206" s="2" t="s">
        <v>62</v>
      </c>
      <c r="C206" s="2">
        <v>2013.0</v>
      </c>
      <c r="D206" s="2" t="s">
        <v>45</v>
      </c>
      <c r="E206" s="2" t="s">
        <v>26</v>
      </c>
      <c r="F206" s="2">
        <v>29.34</v>
      </c>
      <c r="G206" s="2">
        <v>36.21</v>
      </c>
      <c r="H206" s="2">
        <v>33.18</v>
      </c>
      <c r="I206" s="2">
        <v>45.72</v>
      </c>
      <c r="J206" s="2">
        <v>36.11</v>
      </c>
      <c r="K206" s="2">
        <v>63.89</v>
      </c>
      <c r="L206" s="2" t="s">
        <v>29</v>
      </c>
      <c r="M206" s="2">
        <v>6222.74</v>
      </c>
      <c r="N206" s="2" t="str">
        <f t="shared" si="1"/>
        <v>Medium Risk</v>
      </c>
      <c r="O206" s="2" t="b">
        <f>AND(OR($D206=T1_Region,T1_Region="All Regions"),OR($E206=T1_Income,T1_Income="All Income Groups"))</f>
        <v>1</v>
      </c>
    </row>
    <row r="207" ht="15.0" customHeight="1">
      <c r="A207" s="2" t="s">
        <v>61</v>
      </c>
      <c r="B207" s="2" t="s">
        <v>62</v>
      </c>
      <c r="C207" s="2">
        <v>2014.0</v>
      </c>
      <c r="D207" s="2" t="s">
        <v>45</v>
      </c>
      <c r="E207" s="2" t="s">
        <v>26</v>
      </c>
      <c r="F207" s="2">
        <v>31.32</v>
      </c>
      <c r="G207" s="2">
        <v>35.37</v>
      </c>
      <c r="H207" s="2">
        <v>34.33</v>
      </c>
      <c r="I207" s="2">
        <v>53.48</v>
      </c>
      <c r="J207" s="2">
        <v>38.63</v>
      </c>
      <c r="K207" s="2">
        <v>61.37</v>
      </c>
      <c r="L207" s="2" t="s">
        <v>29</v>
      </c>
      <c r="M207" s="2">
        <v>5672.06</v>
      </c>
      <c r="N207" s="2" t="str">
        <f t="shared" si="1"/>
        <v>Medium Risk</v>
      </c>
      <c r="O207" s="2" t="b">
        <f>AND(OR($D207=T1_Region,T1_Region="All Regions"),OR($E207=T1_Income,T1_Income="All Income Groups"))</f>
        <v>1</v>
      </c>
    </row>
    <row r="208" ht="15.0" customHeight="1">
      <c r="A208" s="2" t="s">
        <v>61</v>
      </c>
      <c r="B208" s="2" t="s">
        <v>62</v>
      </c>
      <c r="C208" s="2">
        <v>2015.0</v>
      </c>
      <c r="D208" s="2" t="s">
        <v>45</v>
      </c>
      <c r="E208" s="2" t="s">
        <v>26</v>
      </c>
      <c r="F208" s="2">
        <v>32.48</v>
      </c>
      <c r="G208" s="2">
        <v>40.2</v>
      </c>
      <c r="H208" s="2">
        <v>37.66</v>
      </c>
      <c r="I208" s="2">
        <v>52.41</v>
      </c>
      <c r="J208" s="2">
        <v>40.69</v>
      </c>
      <c r="K208" s="2">
        <v>59.31</v>
      </c>
      <c r="L208" s="2" t="s">
        <v>29</v>
      </c>
      <c r="M208" s="2">
        <v>4952.73</v>
      </c>
      <c r="N208" s="2" t="str">
        <f t="shared" si="1"/>
        <v>Medium Risk</v>
      </c>
      <c r="O208" s="2" t="b">
        <f>AND(OR($D208=T1_Region,T1_Region="All Regions"),OR($E208=T1_Income,T1_Income="All Income Groups"))</f>
        <v>1</v>
      </c>
    </row>
    <row r="209" ht="15.0" customHeight="1">
      <c r="A209" s="2" t="s">
        <v>61</v>
      </c>
      <c r="B209" s="2" t="s">
        <v>62</v>
      </c>
      <c r="C209" s="2">
        <v>2016.0</v>
      </c>
      <c r="D209" s="2" t="s">
        <v>45</v>
      </c>
      <c r="E209" s="2" t="s">
        <v>26</v>
      </c>
      <c r="F209" s="2">
        <v>34.57</v>
      </c>
      <c r="G209" s="2">
        <v>40.21</v>
      </c>
      <c r="H209" s="2">
        <v>38.21</v>
      </c>
      <c r="I209" s="2">
        <v>54.88</v>
      </c>
      <c r="J209" s="2">
        <v>41.97</v>
      </c>
      <c r="K209" s="2">
        <v>58.03</v>
      </c>
      <c r="L209" s="2" t="s">
        <v>29</v>
      </c>
      <c r="M209" s="2">
        <v>5710.6</v>
      </c>
      <c r="N209" s="2" t="str">
        <f t="shared" si="1"/>
        <v>Medium Risk</v>
      </c>
      <c r="O209" s="2" t="b">
        <f>AND(OR($D209=T1_Region,T1_Region="All Regions"),OR($E209=T1_Income,T1_Income="All Income Groups"))</f>
        <v>1</v>
      </c>
    </row>
    <row r="210" ht="15.0" customHeight="1">
      <c r="A210" s="2" t="s">
        <v>61</v>
      </c>
      <c r="B210" s="2" t="s">
        <v>62</v>
      </c>
      <c r="C210" s="2">
        <v>2017.0</v>
      </c>
      <c r="D210" s="2" t="s">
        <v>45</v>
      </c>
      <c r="E210" s="2" t="s">
        <v>26</v>
      </c>
      <c r="F210" s="2">
        <v>33.66</v>
      </c>
      <c r="G210" s="2">
        <v>40.99</v>
      </c>
      <c r="H210" s="2">
        <v>37.78</v>
      </c>
      <c r="I210" s="2">
        <v>53.95</v>
      </c>
      <c r="J210" s="2">
        <v>41.6</v>
      </c>
      <c r="K210" s="2">
        <v>58.4</v>
      </c>
      <c r="L210" s="2" t="s">
        <v>29</v>
      </c>
      <c r="M210" s="2">
        <v>6000.93</v>
      </c>
      <c r="N210" s="2" t="str">
        <f t="shared" si="1"/>
        <v>Medium Risk</v>
      </c>
      <c r="O210" s="2" t="b">
        <f>AND(OR($D210=T1_Region,T1_Region="All Regions"),OR($E210=T1_Income,T1_Income="All Income Groups"))</f>
        <v>1</v>
      </c>
    </row>
    <row r="211" ht="15.0" customHeight="1">
      <c r="A211" s="2" t="s">
        <v>61</v>
      </c>
      <c r="B211" s="2" t="s">
        <v>62</v>
      </c>
      <c r="C211" s="2">
        <v>2018.0</v>
      </c>
      <c r="D211" s="2" t="s">
        <v>45</v>
      </c>
      <c r="E211" s="2" t="s">
        <v>26</v>
      </c>
      <c r="F211" s="2">
        <v>28.79</v>
      </c>
      <c r="G211" s="2">
        <v>40.29</v>
      </c>
      <c r="H211" s="2">
        <v>34.47</v>
      </c>
      <c r="I211" s="2">
        <v>49.35</v>
      </c>
      <c r="J211" s="2">
        <v>38.22</v>
      </c>
      <c r="K211" s="2">
        <v>61.78</v>
      </c>
      <c r="L211" s="2" t="s">
        <v>29</v>
      </c>
      <c r="M211" s="2">
        <v>4783.01</v>
      </c>
      <c r="N211" s="2" t="str">
        <f t="shared" si="1"/>
        <v>Medium Risk</v>
      </c>
      <c r="O211" s="2" t="b">
        <f>AND(OR($D211=T1_Region,T1_Region="All Regions"),OR($E211=T1_Income,T1_Income="All Income Groups"))</f>
        <v>1</v>
      </c>
    </row>
    <row r="212" ht="15.0" customHeight="1">
      <c r="A212" s="2" t="s">
        <v>61</v>
      </c>
      <c r="B212" s="2" t="s">
        <v>62</v>
      </c>
      <c r="C212" s="2">
        <v>2019.0</v>
      </c>
      <c r="D212" s="2" t="s">
        <v>45</v>
      </c>
      <c r="E212" s="2" t="s">
        <v>26</v>
      </c>
      <c r="F212" s="2">
        <v>27.78</v>
      </c>
      <c r="G212" s="2">
        <v>38.83</v>
      </c>
      <c r="H212" s="2">
        <v>33.4</v>
      </c>
      <c r="I212" s="2">
        <v>44.45</v>
      </c>
      <c r="J212" s="2">
        <v>36.11</v>
      </c>
      <c r="K212" s="2">
        <v>63.89</v>
      </c>
      <c r="L212" s="2" t="s">
        <v>29</v>
      </c>
      <c r="M212" s="2">
        <v>3997.49</v>
      </c>
      <c r="N212" s="2" t="str">
        <f t="shared" si="1"/>
        <v>Medium Risk</v>
      </c>
      <c r="O212" s="2" t="b">
        <f>AND(OR($D212=T1_Region,T1_Region="All Regions"),OR($E212=T1_Income,T1_Income="All Income Groups"))</f>
        <v>1</v>
      </c>
    </row>
    <row r="213" ht="15.0" customHeight="1">
      <c r="A213" s="2" t="s">
        <v>61</v>
      </c>
      <c r="B213" s="2" t="s">
        <v>62</v>
      </c>
      <c r="C213" s="2">
        <v>2020.0</v>
      </c>
      <c r="D213" s="2" t="s">
        <v>45</v>
      </c>
      <c r="E213" s="2" t="s">
        <v>26</v>
      </c>
      <c r="F213" s="2">
        <v>25.5</v>
      </c>
      <c r="G213" s="2">
        <v>39.29</v>
      </c>
      <c r="H213" s="2">
        <v>32.89</v>
      </c>
      <c r="I213" s="2">
        <v>45.03</v>
      </c>
      <c r="J213" s="2">
        <v>35.68</v>
      </c>
      <c r="K213" s="2">
        <v>64.32</v>
      </c>
      <c r="L213" s="2" t="s">
        <v>29</v>
      </c>
      <c r="M213" s="2">
        <v>3202.5</v>
      </c>
      <c r="N213" s="2" t="str">
        <f t="shared" si="1"/>
        <v>Medium Risk</v>
      </c>
      <c r="O213" s="2" t="b">
        <f>AND(OR($D213=T1_Region,T1_Region="All Regions"),OR($E213=T1_Income,T1_Income="All Income Groups"))</f>
        <v>1</v>
      </c>
    </row>
    <row r="214" ht="15.0" customHeight="1">
      <c r="A214" s="2" t="s">
        <v>61</v>
      </c>
      <c r="B214" s="2" t="s">
        <v>62</v>
      </c>
      <c r="C214" s="2">
        <v>2021.0</v>
      </c>
      <c r="D214" s="2" t="s">
        <v>45</v>
      </c>
      <c r="E214" s="2" t="s">
        <v>26</v>
      </c>
      <c r="F214" s="2">
        <v>25.05</v>
      </c>
      <c r="G214" s="2">
        <v>38.57</v>
      </c>
      <c r="H214" s="2">
        <v>32.88</v>
      </c>
      <c r="I214" s="2">
        <v>46.12</v>
      </c>
      <c r="J214" s="2">
        <v>35.65</v>
      </c>
      <c r="K214" s="2">
        <v>64.35</v>
      </c>
      <c r="L214" s="2" t="s">
        <v>29</v>
      </c>
      <c r="M214" s="2">
        <v>4605.15</v>
      </c>
      <c r="N214" s="2" t="str">
        <f t="shared" si="1"/>
        <v>Medium Risk</v>
      </c>
      <c r="O214" s="2" t="b">
        <f>AND(OR($D214=T1_Region,T1_Region="All Regions"),OR($E214=T1_Income,T1_Income="All Income Groups"))</f>
        <v>1</v>
      </c>
    </row>
    <row r="215" ht="15.0" customHeight="1">
      <c r="A215" s="2" t="s">
        <v>61</v>
      </c>
      <c r="B215" s="2" t="s">
        <v>62</v>
      </c>
      <c r="C215" s="2">
        <v>2022.0</v>
      </c>
      <c r="D215" s="2" t="s">
        <v>45</v>
      </c>
      <c r="E215" s="2" t="s">
        <v>26</v>
      </c>
      <c r="F215" s="2">
        <v>24.94</v>
      </c>
      <c r="G215" s="2">
        <v>37.59</v>
      </c>
      <c r="H215" s="2">
        <v>32.82</v>
      </c>
      <c r="I215" s="2">
        <v>46.34</v>
      </c>
      <c r="J215" s="2">
        <v>35.42</v>
      </c>
      <c r="K215" s="2">
        <v>64.58</v>
      </c>
      <c r="L215" s="2" t="s">
        <v>29</v>
      </c>
      <c r="M215" s="2">
        <v>4721.2</v>
      </c>
      <c r="N215" s="2" t="str">
        <f t="shared" si="1"/>
        <v>Medium Risk</v>
      </c>
      <c r="O215" s="2" t="b">
        <f>AND(OR($D215=T1_Region,T1_Region="All Regions"),OR($E215=T1_Income,T1_Income="All Income Groups"))</f>
        <v>1</v>
      </c>
    </row>
    <row r="216" ht="15.0" customHeight="1">
      <c r="A216" s="2" t="s">
        <v>61</v>
      </c>
      <c r="B216" s="2" t="s">
        <v>62</v>
      </c>
      <c r="C216" s="2">
        <v>2023.0</v>
      </c>
      <c r="D216" s="2" t="s">
        <v>45</v>
      </c>
      <c r="E216" s="2" t="s">
        <v>26</v>
      </c>
      <c r="F216" s="2">
        <v>24.15</v>
      </c>
      <c r="G216" s="2">
        <v>36.3</v>
      </c>
      <c r="H216" s="2">
        <v>31.7</v>
      </c>
      <c r="I216" s="2">
        <v>44.21</v>
      </c>
      <c r="J216" s="2">
        <v>34.09</v>
      </c>
      <c r="K216" s="2">
        <v>65.91</v>
      </c>
      <c r="L216" s="2" t="s">
        <v>29</v>
      </c>
      <c r="M216" s="2">
        <v>5049.3</v>
      </c>
      <c r="N216" s="2" t="str">
        <f t="shared" si="1"/>
        <v>High Risk</v>
      </c>
      <c r="O216" s="2" t="b">
        <f>AND(OR($D216=T1_Region,T1_Region="All Regions"),OR($E216=T1_Income,T1_Income="All Income Groups"))</f>
        <v>1</v>
      </c>
    </row>
    <row r="217" ht="15.0" customHeight="1">
      <c r="A217" s="2" t="s">
        <v>61</v>
      </c>
      <c r="B217" s="2" t="s">
        <v>62</v>
      </c>
      <c r="C217" s="2">
        <v>2024.0</v>
      </c>
      <c r="D217" s="2" t="s">
        <v>45</v>
      </c>
      <c r="E217" s="2" t="s">
        <v>26</v>
      </c>
      <c r="F217" s="2">
        <v>24.63</v>
      </c>
      <c r="G217" s="2">
        <v>35.71</v>
      </c>
      <c r="H217" s="2">
        <v>31.03</v>
      </c>
      <c r="I217" s="2">
        <v>38.89</v>
      </c>
      <c r="J217" s="2">
        <v>32.56</v>
      </c>
      <c r="K217" s="2">
        <v>67.44</v>
      </c>
      <c r="L217" s="2" t="s">
        <v>29</v>
      </c>
      <c r="M217" s="2">
        <v>5190.17</v>
      </c>
      <c r="N217" s="2" t="str">
        <f t="shared" si="1"/>
        <v>High Risk</v>
      </c>
      <c r="O217" s="2" t="b">
        <f>AND(OR($D217=T1_Region,T1_Region="All Regions"),OR($E217=T1_Income,T1_Income="All Income Groups"))</f>
        <v>1</v>
      </c>
    </row>
    <row r="218" ht="15.0" customHeight="1">
      <c r="A218" s="2" t="s">
        <v>63</v>
      </c>
      <c r="B218" s="2" t="s">
        <v>64</v>
      </c>
      <c r="C218" s="2">
        <v>2013.0</v>
      </c>
      <c r="D218" s="2" t="s">
        <v>50</v>
      </c>
      <c r="E218" s="2" t="s">
        <v>20</v>
      </c>
      <c r="F218" s="2">
        <v>48.71</v>
      </c>
      <c r="G218" s="2">
        <v>66.14</v>
      </c>
      <c r="H218" s="2">
        <v>62.56</v>
      </c>
      <c r="I218" s="2">
        <v>72.43</v>
      </c>
      <c r="J218" s="2">
        <v>62.46</v>
      </c>
      <c r="K218" s="2">
        <v>37.54</v>
      </c>
      <c r="L218" s="2" t="s">
        <v>97</v>
      </c>
      <c r="M218" s="2">
        <v>35701.67</v>
      </c>
      <c r="N218" s="2" t="str">
        <f t="shared" si="1"/>
        <v>Low Risk</v>
      </c>
      <c r="O218" s="2" t="b">
        <f>AND(OR($D218=T1_Region,T1_Region="All Regions"),OR($E218=T1_Income,T1_Income="All Income Groups"))</f>
        <v>1</v>
      </c>
    </row>
    <row r="219" ht="15.0" customHeight="1">
      <c r="A219" s="2" t="s">
        <v>63</v>
      </c>
      <c r="B219" s="2" t="s">
        <v>64</v>
      </c>
      <c r="C219" s="2">
        <v>2014.0</v>
      </c>
      <c r="D219" s="2" t="s">
        <v>50</v>
      </c>
      <c r="E219" s="2" t="s">
        <v>20</v>
      </c>
      <c r="F219" s="2">
        <v>48.12</v>
      </c>
      <c r="G219" s="2">
        <v>66.51</v>
      </c>
      <c r="H219" s="2">
        <v>60.83</v>
      </c>
      <c r="I219" s="2">
        <v>74.25</v>
      </c>
      <c r="J219" s="2">
        <v>62.43</v>
      </c>
      <c r="K219" s="2">
        <v>37.57</v>
      </c>
      <c r="L219" s="2" t="s">
        <v>97</v>
      </c>
      <c r="M219" s="2">
        <v>36028.35</v>
      </c>
      <c r="N219" s="2" t="str">
        <f t="shared" si="1"/>
        <v>Low Risk</v>
      </c>
      <c r="O219" s="2" t="b">
        <f>AND(OR($D219=T1_Region,T1_Region="All Regions"),OR($E219=T1_Income,T1_Income="All Income Groups"))</f>
        <v>1</v>
      </c>
    </row>
    <row r="220" ht="15.0" customHeight="1">
      <c r="A220" s="2" t="s">
        <v>63</v>
      </c>
      <c r="B220" s="2" t="s">
        <v>64</v>
      </c>
      <c r="C220" s="2">
        <v>2015.0</v>
      </c>
      <c r="D220" s="2" t="s">
        <v>50</v>
      </c>
      <c r="E220" s="2" t="s">
        <v>20</v>
      </c>
      <c r="F220" s="2">
        <v>49.23</v>
      </c>
      <c r="G220" s="2">
        <v>64.91</v>
      </c>
      <c r="H220" s="2">
        <v>64.12</v>
      </c>
      <c r="I220" s="2">
        <v>72.64</v>
      </c>
      <c r="J220" s="2">
        <v>62.72</v>
      </c>
      <c r="K220" s="2">
        <v>37.28</v>
      </c>
      <c r="L220" s="2" t="s">
        <v>97</v>
      </c>
      <c r="M220" s="2">
        <v>30639.88</v>
      </c>
      <c r="N220" s="2" t="str">
        <f t="shared" si="1"/>
        <v>Low Risk</v>
      </c>
      <c r="O220" s="2" t="b">
        <f>AND(OR($D220=T1_Region,T1_Region="All Regions"),OR($E220=T1_Income,T1_Income="All Income Groups"))</f>
        <v>1</v>
      </c>
    </row>
    <row r="221" ht="15.0" customHeight="1">
      <c r="A221" s="2" t="s">
        <v>63</v>
      </c>
      <c r="B221" s="2" t="s">
        <v>64</v>
      </c>
      <c r="C221" s="2">
        <v>2016.0</v>
      </c>
      <c r="D221" s="2" t="s">
        <v>50</v>
      </c>
      <c r="E221" s="2" t="s">
        <v>20</v>
      </c>
      <c r="F221" s="2">
        <v>50.39</v>
      </c>
      <c r="G221" s="2">
        <v>64.9</v>
      </c>
      <c r="H221" s="2">
        <v>64.86</v>
      </c>
      <c r="I221" s="2">
        <v>71.9</v>
      </c>
      <c r="J221" s="2">
        <v>63.01</v>
      </c>
      <c r="K221" s="2">
        <v>36.99</v>
      </c>
      <c r="L221" s="2" t="s">
        <v>97</v>
      </c>
      <c r="M221" s="2">
        <v>31391.57</v>
      </c>
      <c r="N221" s="2" t="str">
        <f t="shared" si="1"/>
        <v>Low Risk</v>
      </c>
      <c r="O221" s="2" t="b">
        <f>AND(OR($D221=T1_Region,T1_Region="All Regions"),OR($E221=T1_Income,T1_Income="All Income Groups"))</f>
        <v>1</v>
      </c>
    </row>
    <row r="222" ht="15.0" customHeight="1">
      <c r="A222" s="2" t="s">
        <v>63</v>
      </c>
      <c r="B222" s="2" t="s">
        <v>64</v>
      </c>
      <c r="C222" s="2">
        <v>2017.0</v>
      </c>
      <c r="D222" s="2" t="s">
        <v>50</v>
      </c>
      <c r="E222" s="2" t="s">
        <v>20</v>
      </c>
      <c r="F222" s="2">
        <v>51.8</v>
      </c>
      <c r="G222" s="2">
        <v>64.52</v>
      </c>
      <c r="H222" s="2">
        <v>64.89</v>
      </c>
      <c r="I222" s="2">
        <v>70.24</v>
      </c>
      <c r="J222" s="2">
        <v>62.86</v>
      </c>
      <c r="K222" s="2">
        <v>37.14</v>
      </c>
      <c r="L222" s="2" t="s">
        <v>97</v>
      </c>
      <c r="M222" s="2">
        <v>32844.12</v>
      </c>
      <c r="N222" s="2" t="str">
        <f t="shared" si="1"/>
        <v>Low Risk</v>
      </c>
      <c r="O222" s="2" t="b">
        <f>AND(OR($D222=T1_Region,T1_Region="All Regions"),OR($E222=T1_Income,T1_Income="All Income Groups"))</f>
        <v>1</v>
      </c>
    </row>
    <row r="223" ht="15.0" customHeight="1">
      <c r="A223" s="2" t="s">
        <v>63</v>
      </c>
      <c r="B223" s="2" t="s">
        <v>64</v>
      </c>
      <c r="C223" s="2">
        <v>2018.0</v>
      </c>
      <c r="D223" s="2" t="s">
        <v>50</v>
      </c>
      <c r="E223" s="2" t="s">
        <v>20</v>
      </c>
      <c r="F223" s="2">
        <v>52.87</v>
      </c>
      <c r="G223" s="2">
        <v>64.17</v>
      </c>
      <c r="H223" s="2">
        <v>63.7</v>
      </c>
      <c r="I223" s="2">
        <v>72.25</v>
      </c>
      <c r="J223" s="2">
        <v>63.25</v>
      </c>
      <c r="K223" s="2">
        <v>36.75</v>
      </c>
      <c r="L223" s="2" t="s">
        <v>97</v>
      </c>
      <c r="M223" s="2">
        <v>35062.34</v>
      </c>
      <c r="N223" s="2" t="str">
        <f t="shared" si="1"/>
        <v>Low Risk</v>
      </c>
      <c r="O223" s="2" t="b">
        <f>AND(OR($D223=T1_Region,T1_Region="All Regions"),OR($E223=T1_Income,T1_Income="All Income Groups"))</f>
        <v>1</v>
      </c>
    </row>
    <row r="224" ht="15.0" customHeight="1">
      <c r="A224" s="2" t="s">
        <v>63</v>
      </c>
      <c r="B224" s="2" t="s">
        <v>64</v>
      </c>
      <c r="C224" s="2">
        <v>2019.0</v>
      </c>
      <c r="D224" s="2" t="s">
        <v>50</v>
      </c>
      <c r="E224" s="2" t="s">
        <v>20</v>
      </c>
      <c r="F224" s="2">
        <v>53.58</v>
      </c>
      <c r="G224" s="2">
        <v>66.08</v>
      </c>
      <c r="H224" s="2">
        <v>65.92</v>
      </c>
      <c r="I224" s="2">
        <v>71.4</v>
      </c>
      <c r="J224" s="2">
        <v>64.25</v>
      </c>
      <c r="K224" s="2">
        <v>35.75</v>
      </c>
      <c r="L224" s="2" t="s">
        <v>97</v>
      </c>
      <c r="M224" s="2">
        <v>33812.79</v>
      </c>
      <c r="N224" s="2" t="str">
        <f t="shared" si="1"/>
        <v>Low Risk</v>
      </c>
      <c r="O224" s="2" t="b">
        <f>AND(OR($D224=T1_Region,T1_Region="All Regions"),OR($E224=T1_Income,T1_Income="All Income Groups"))</f>
        <v>1</v>
      </c>
    </row>
    <row r="225" ht="15.0" customHeight="1">
      <c r="A225" s="2" t="s">
        <v>63</v>
      </c>
      <c r="B225" s="2" t="s">
        <v>64</v>
      </c>
      <c r="C225" s="2">
        <v>2020.0</v>
      </c>
      <c r="D225" s="2" t="s">
        <v>50</v>
      </c>
      <c r="E225" s="2" t="s">
        <v>20</v>
      </c>
      <c r="F225" s="2">
        <v>58.58</v>
      </c>
      <c r="G225" s="2">
        <v>66.51</v>
      </c>
      <c r="H225" s="2">
        <v>62.3</v>
      </c>
      <c r="I225" s="2">
        <v>71.57</v>
      </c>
      <c r="J225" s="2">
        <v>64.74</v>
      </c>
      <c r="K225" s="2">
        <v>35.26</v>
      </c>
      <c r="L225" s="2" t="s">
        <v>97</v>
      </c>
      <c r="M225" s="2">
        <v>32091.49</v>
      </c>
      <c r="N225" s="2" t="str">
        <f t="shared" si="1"/>
        <v>Low Risk</v>
      </c>
      <c r="O225" s="2" t="b">
        <f>AND(OR($D225=T1_Region,T1_Region="All Regions"),OR($E225=T1_Income,T1_Income="All Income Groups"))</f>
        <v>1</v>
      </c>
    </row>
    <row r="226" ht="15.0" customHeight="1">
      <c r="A226" s="2" t="s">
        <v>63</v>
      </c>
      <c r="B226" s="2" t="s">
        <v>64</v>
      </c>
      <c r="C226" s="2">
        <v>2021.0</v>
      </c>
      <c r="D226" s="2" t="s">
        <v>50</v>
      </c>
      <c r="E226" s="2" t="s">
        <v>20</v>
      </c>
      <c r="F226" s="2">
        <v>58.77</v>
      </c>
      <c r="G226" s="2">
        <v>67.09</v>
      </c>
      <c r="H226" s="2">
        <v>63.91</v>
      </c>
      <c r="I226" s="2">
        <v>73.4</v>
      </c>
      <c r="J226" s="2">
        <v>65.79</v>
      </c>
      <c r="K226" s="2">
        <v>34.21</v>
      </c>
      <c r="L226" s="2" t="s">
        <v>97</v>
      </c>
      <c r="M226" s="2">
        <v>36852.54</v>
      </c>
      <c r="N226" s="2" t="str">
        <f t="shared" si="1"/>
        <v>Low Risk</v>
      </c>
      <c r="O226" s="2" t="b">
        <f>AND(OR($D226=T1_Region,T1_Region="All Regions"),OR($E226=T1_Income,T1_Income="All Income Groups"))</f>
        <v>1</v>
      </c>
    </row>
    <row r="227" ht="15.0" customHeight="1">
      <c r="A227" s="2" t="s">
        <v>63</v>
      </c>
      <c r="B227" s="2" t="s">
        <v>64</v>
      </c>
      <c r="C227" s="2">
        <v>2022.0</v>
      </c>
      <c r="D227" s="2" t="s">
        <v>50</v>
      </c>
      <c r="E227" s="2" t="s">
        <v>20</v>
      </c>
      <c r="F227" s="2">
        <v>59.47</v>
      </c>
      <c r="G227" s="2">
        <v>66.84</v>
      </c>
      <c r="H227" s="2">
        <v>64.34</v>
      </c>
      <c r="I227" s="2">
        <v>72.94</v>
      </c>
      <c r="J227" s="2">
        <v>65.9</v>
      </c>
      <c r="K227" s="2">
        <v>34.1</v>
      </c>
      <c r="L227" s="2" t="s">
        <v>97</v>
      </c>
      <c r="M227" s="2">
        <v>35653.9</v>
      </c>
      <c r="N227" s="2" t="str">
        <f t="shared" si="1"/>
        <v>Low Risk</v>
      </c>
      <c r="O227" s="2" t="b">
        <f>AND(OR($D227=T1_Region,T1_Region="All Regions"),OR($E227=T1_Income,T1_Income="All Income Groups"))</f>
        <v>1</v>
      </c>
    </row>
    <row r="228" ht="15.0" customHeight="1">
      <c r="A228" s="2" t="s">
        <v>63</v>
      </c>
      <c r="B228" s="2" t="s">
        <v>64</v>
      </c>
      <c r="C228" s="2">
        <v>2023.0</v>
      </c>
      <c r="D228" s="2" t="s">
        <v>50</v>
      </c>
      <c r="E228" s="2" t="s">
        <v>20</v>
      </c>
      <c r="F228" s="2">
        <v>59.42</v>
      </c>
      <c r="G228" s="2">
        <v>68.16</v>
      </c>
      <c r="H228" s="2">
        <v>65.84</v>
      </c>
      <c r="I228" s="2">
        <v>73.99</v>
      </c>
      <c r="J228" s="2">
        <v>66.85</v>
      </c>
      <c r="K228" s="2">
        <v>33.15</v>
      </c>
      <c r="L228" s="2" t="s">
        <v>97</v>
      </c>
      <c r="M228" s="2">
        <v>39279.7</v>
      </c>
      <c r="N228" s="2" t="str">
        <f t="shared" si="1"/>
        <v>Low Risk</v>
      </c>
      <c r="O228" s="2" t="b">
        <f>AND(OR($D228=T1_Region,T1_Region="All Regions"),OR($E228=T1_Income,T1_Income="All Income Groups"))</f>
        <v>1</v>
      </c>
    </row>
    <row r="229" ht="15.0" customHeight="1">
      <c r="A229" s="2" t="s">
        <v>63</v>
      </c>
      <c r="B229" s="2" t="s">
        <v>64</v>
      </c>
      <c r="C229" s="2">
        <v>2024.0</v>
      </c>
      <c r="D229" s="2" t="s">
        <v>50</v>
      </c>
      <c r="E229" s="2" t="s">
        <v>20</v>
      </c>
      <c r="F229" s="2">
        <v>59.05</v>
      </c>
      <c r="G229" s="2">
        <v>67.62</v>
      </c>
      <c r="H229" s="2">
        <v>64.96</v>
      </c>
      <c r="I229" s="2">
        <v>71.17</v>
      </c>
      <c r="J229" s="2">
        <v>65.7</v>
      </c>
      <c r="K229" s="2">
        <v>34.3</v>
      </c>
      <c r="L229" s="2" t="s">
        <v>97</v>
      </c>
      <c r="M229" s="2">
        <v>40429.62</v>
      </c>
      <c r="N229" s="2" t="str">
        <f t="shared" si="1"/>
        <v>Low Risk</v>
      </c>
      <c r="O229" s="2" t="b">
        <f>AND(OR($D229=T1_Region,T1_Region="All Regions"),OR($E229=T1_Income,T1_Income="All Income Groups"))</f>
        <v>1</v>
      </c>
    </row>
    <row r="230" ht="15.0" customHeight="1">
      <c r="A230" s="2" t="s">
        <v>65</v>
      </c>
      <c r="B230" s="2" t="s">
        <v>66</v>
      </c>
      <c r="C230" s="2">
        <v>2013.0</v>
      </c>
      <c r="D230" s="2" t="s">
        <v>19</v>
      </c>
      <c r="E230" s="2" t="s">
        <v>20</v>
      </c>
      <c r="F230" s="2">
        <v>78.18</v>
      </c>
      <c r="G230" s="2">
        <v>80.6</v>
      </c>
      <c r="H230" s="2">
        <v>76.3</v>
      </c>
      <c r="I230" s="2">
        <v>83.79</v>
      </c>
      <c r="J230" s="2">
        <v>79.72</v>
      </c>
      <c r="K230" s="2">
        <v>20.28</v>
      </c>
      <c r="L230" s="2" t="s">
        <v>97</v>
      </c>
      <c r="M230" s="2">
        <v>41369.19</v>
      </c>
      <c r="N230" s="2" t="str">
        <f t="shared" si="1"/>
        <v>Low Risk</v>
      </c>
      <c r="O230" s="2" t="b">
        <f>AND(OR($D230=T1_Region,T1_Region="All Regions"),OR($E230=T1_Income,T1_Income="All Income Groups"))</f>
        <v>1</v>
      </c>
    </row>
    <row r="231" ht="15.0" customHeight="1">
      <c r="A231" s="2" t="s">
        <v>65</v>
      </c>
      <c r="B231" s="2" t="s">
        <v>66</v>
      </c>
      <c r="C231" s="2">
        <v>2014.0</v>
      </c>
      <c r="D231" s="2" t="s">
        <v>19</v>
      </c>
      <c r="E231" s="2" t="s">
        <v>20</v>
      </c>
      <c r="F231" s="2">
        <v>79.01</v>
      </c>
      <c r="G231" s="2">
        <v>82.04</v>
      </c>
      <c r="H231" s="2">
        <v>75.36</v>
      </c>
      <c r="I231" s="2">
        <v>86.57</v>
      </c>
      <c r="J231" s="2">
        <v>80.74</v>
      </c>
      <c r="K231" s="2">
        <v>19.26</v>
      </c>
      <c r="L231" s="2" t="s">
        <v>97</v>
      </c>
      <c r="M231" s="2">
        <v>39172.85</v>
      </c>
      <c r="N231" s="2" t="str">
        <f t="shared" si="1"/>
        <v>Low Risk</v>
      </c>
      <c r="O231" s="2" t="b">
        <f>AND(OR($D231=T1_Region,T1_Region="All Regions"),OR($E231=T1_Income,T1_Income="All Income Groups"))</f>
        <v>1</v>
      </c>
    </row>
    <row r="232" ht="15.0" customHeight="1">
      <c r="A232" s="2" t="s">
        <v>65</v>
      </c>
      <c r="B232" s="2" t="s">
        <v>66</v>
      </c>
      <c r="C232" s="2">
        <v>2015.0</v>
      </c>
      <c r="D232" s="2" t="s">
        <v>19</v>
      </c>
      <c r="E232" s="2" t="s">
        <v>20</v>
      </c>
      <c r="F232" s="2">
        <v>77.22</v>
      </c>
      <c r="G232" s="2">
        <v>81.68</v>
      </c>
      <c r="H232" s="2">
        <v>77.12</v>
      </c>
      <c r="I232" s="2">
        <v>86.78</v>
      </c>
      <c r="J232" s="2">
        <v>80.7</v>
      </c>
      <c r="K232" s="2">
        <v>19.3</v>
      </c>
      <c r="L232" s="2" t="s">
        <v>97</v>
      </c>
      <c r="M232" s="2">
        <v>35664.64</v>
      </c>
      <c r="N232" s="2" t="str">
        <f t="shared" si="1"/>
        <v>Low Risk</v>
      </c>
      <c r="O232" s="2" t="b">
        <f>AND(OR($D232=T1_Region,T1_Region="All Regions"),OR($E232=T1_Income,T1_Income="All Income Groups"))</f>
        <v>1</v>
      </c>
    </row>
    <row r="233" ht="15.0" customHeight="1">
      <c r="A233" s="2" t="s">
        <v>65</v>
      </c>
      <c r="B233" s="2" t="s">
        <v>66</v>
      </c>
      <c r="C233" s="2">
        <v>2016.0</v>
      </c>
      <c r="D233" s="2" t="s">
        <v>19</v>
      </c>
      <c r="E233" s="2" t="s">
        <v>20</v>
      </c>
      <c r="F233" s="2">
        <v>77.11</v>
      </c>
      <c r="G233" s="2">
        <v>81.64</v>
      </c>
      <c r="H233" s="2">
        <v>78.97</v>
      </c>
      <c r="I233" s="2">
        <v>85.02</v>
      </c>
      <c r="J233" s="2">
        <v>80.69</v>
      </c>
      <c r="K233" s="2">
        <v>19.31</v>
      </c>
      <c r="L233" s="2" t="s">
        <v>97</v>
      </c>
      <c r="M233" s="2">
        <v>40214.97</v>
      </c>
      <c r="N233" s="2" t="str">
        <f t="shared" si="1"/>
        <v>Low Risk</v>
      </c>
      <c r="O233" s="2" t="b">
        <f>AND(OR($D233=T1_Region,T1_Region="All Regions"),OR($E233=T1_Income,T1_Income="All Income Groups"))</f>
        <v>1</v>
      </c>
    </row>
    <row r="234" ht="15.0" customHeight="1">
      <c r="A234" s="2" t="s">
        <v>65</v>
      </c>
      <c r="B234" s="2" t="s">
        <v>66</v>
      </c>
      <c r="C234" s="2">
        <v>2017.0</v>
      </c>
      <c r="D234" s="2" t="s">
        <v>19</v>
      </c>
      <c r="E234" s="2" t="s">
        <v>20</v>
      </c>
      <c r="F234" s="2">
        <v>77.73</v>
      </c>
      <c r="G234" s="2">
        <v>82.59</v>
      </c>
      <c r="H234" s="2">
        <v>76.92</v>
      </c>
      <c r="I234" s="2">
        <v>85.87</v>
      </c>
      <c r="J234" s="2">
        <v>80.78</v>
      </c>
      <c r="K234" s="2">
        <v>19.22</v>
      </c>
      <c r="L234" s="2" t="s">
        <v>97</v>
      </c>
      <c r="M234" s="2">
        <v>39679.86</v>
      </c>
      <c r="N234" s="2" t="str">
        <f t="shared" si="1"/>
        <v>Low Risk</v>
      </c>
      <c r="O234" s="2" t="b">
        <f>AND(OR($D234=T1_Region,T1_Region="All Regions"),OR($E234=T1_Income,T1_Income="All Income Groups"))</f>
        <v>1</v>
      </c>
    </row>
    <row r="235" ht="15.0" customHeight="1">
      <c r="A235" s="2" t="s">
        <v>65</v>
      </c>
      <c r="B235" s="2" t="s">
        <v>66</v>
      </c>
      <c r="C235" s="2">
        <v>2018.0</v>
      </c>
      <c r="D235" s="2" t="s">
        <v>19</v>
      </c>
      <c r="E235" s="2" t="s">
        <v>20</v>
      </c>
      <c r="F235" s="2">
        <v>76.01</v>
      </c>
      <c r="G235" s="2">
        <v>82.56</v>
      </c>
      <c r="H235" s="2">
        <v>76.38</v>
      </c>
      <c r="I235" s="2">
        <v>85.33</v>
      </c>
      <c r="J235" s="2">
        <v>80.07</v>
      </c>
      <c r="K235" s="2">
        <v>19.93</v>
      </c>
      <c r="L235" s="2" t="s">
        <v>97</v>
      </c>
      <c r="M235" s="2">
        <v>40645.48</v>
      </c>
      <c r="N235" s="2" t="str">
        <f t="shared" si="1"/>
        <v>Low Risk</v>
      </c>
      <c r="O235" s="2" t="b">
        <f>AND(OR($D235=T1_Region,T1_Region="All Regions"),OR($E235=T1_Income,T1_Income="All Income Groups"))</f>
        <v>1</v>
      </c>
    </row>
    <row r="236" ht="15.0" customHeight="1">
      <c r="A236" s="2" t="s">
        <v>65</v>
      </c>
      <c r="B236" s="2" t="s">
        <v>66</v>
      </c>
      <c r="C236" s="2">
        <v>2019.0</v>
      </c>
      <c r="D236" s="2" t="s">
        <v>19</v>
      </c>
      <c r="E236" s="2" t="s">
        <v>20</v>
      </c>
      <c r="F236" s="2">
        <v>76.87</v>
      </c>
      <c r="G236" s="2">
        <v>82.99</v>
      </c>
      <c r="H236" s="2">
        <v>76.76</v>
      </c>
      <c r="I236" s="2">
        <v>84.96</v>
      </c>
      <c r="J236" s="2">
        <v>80.4</v>
      </c>
      <c r="K236" s="2">
        <v>19.6</v>
      </c>
      <c r="L236" s="2" t="s">
        <v>97</v>
      </c>
      <c r="M236" s="2">
        <v>41424.87</v>
      </c>
      <c r="N236" s="2" t="str">
        <f t="shared" si="1"/>
        <v>Low Risk</v>
      </c>
      <c r="O236" s="2" t="b">
        <f>AND(OR($D236=T1_Region,T1_Region="All Regions"),OR($E236=T1_Income,T1_Income="All Income Groups"))</f>
        <v>1</v>
      </c>
    </row>
    <row r="237" ht="15.0" customHeight="1">
      <c r="A237" s="2" t="s">
        <v>65</v>
      </c>
      <c r="B237" s="2" t="s">
        <v>66</v>
      </c>
      <c r="C237" s="2">
        <v>2020.0</v>
      </c>
      <c r="D237" s="2" t="s">
        <v>19</v>
      </c>
      <c r="E237" s="2" t="s">
        <v>20</v>
      </c>
      <c r="F237" s="2">
        <v>76.8</v>
      </c>
      <c r="G237" s="2">
        <v>83.02</v>
      </c>
      <c r="H237" s="2">
        <v>76.43</v>
      </c>
      <c r="I237" s="2">
        <v>85.24</v>
      </c>
      <c r="J237" s="2">
        <v>80.37</v>
      </c>
      <c r="K237" s="2">
        <v>19.63</v>
      </c>
      <c r="L237" s="2" t="s">
        <v>97</v>
      </c>
      <c r="M237" s="2">
        <v>41098.97</v>
      </c>
      <c r="N237" s="2" t="str">
        <f t="shared" si="1"/>
        <v>Low Risk</v>
      </c>
      <c r="O237" s="2" t="b">
        <f>AND(OR($D237=T1_Region,T1_Region="All Regions"),OR($E237=T1_Income,T1_Income="All Income Groups"))</f>
        <v>1</v>
      </c>
    </row>
    <row r="238" ht="15.0" customHeight="1">
      <c r="A238" s="2" t="s">
        <v>65</v>
      </c>
      <c r="B238" s="2" t="s">
        <v>66</v>
      </c>
      <c r="C238" s="2">
        <v>2021.0</v>
      </c>
      <c r="D238" s="2" t="s">
        <v>19</v>
      </c>
      <c r="E238" s="2" t="s">
        <v>20</v>
      </c>
      <c r="F238" s="2">
        <v>77.31</v>
      </c>
      <c r="G238" s="2">
        <v>83.33</v>
      </c>
      <c r="H238" s="2">
        <v>76.87</v>
      </c>
      <c r="I238" s="2">
        <v>85.71</v>
      </c>
      <c r="J238" s="2">
        <v>80.81</v>
      </c>
      <c r="K238" s="2">
        <v>19.19</v>
      </c>
      <c r="L238" s="2" t="s">
        <v>97</v>
      </c>
      <c r="M238" s="2">
        <v>41580.74</v>
      </c>
      <c r="N238" s="2" t="str">
        <f t="shared" si="1"/>
        <v>Low Risk</v>
      </c>
      <c r="O238" s="2" t="b">
        <f>AND(OR($D238=T1_Region,T1_Region="All Regions"),OR($E238=T1_Income,T1_Income="All Income Groups"))</f>
        <v>1</v>
      </c>
    </row>
    <row r="239" ht="15.0" customHeight="1">
      <c r="A239" s="2" t="s">
        <v>65</v>
      </c>
      <c r="B239" s="2" t="s">
        <v>66</v>
      </c>
      <c r="C239" s="2">
        <v>2022.0</v>
      </c>
      <c r="D239" s="2" t="s">
        <v>19</v>
      </c>
      <c r="E239" s="2" t="s">
        <v>20</v>
      </c>
      <c r="F239" s="2">
        <v>77.04</v>
      </c>
      <c r="G239" s="2">
        <v>82.93</v>
      </c>
      <c r="H239" s="2">
        <v>77.11</v>
      </c>
      <c r="I239" s="2">
        <v>87.69</v>
      </c>
      <c r="J239" s="2">
        <v>81.19</v>
      </c>
      <c r="K239" s="2">
        <v>18.81</v>
      </c>
      <c r="L239" s="2" t="s">
        <v>97</v>
      </c>
      <c r="M239" s="2">
        <v>35548.26</v>
      </c>
      <c r="N239" s="2" t="str">
        <f t="shared" si="1"/>
        <v>Low Risk</v>
      </c>
      <c r="O239" s="2" t="b">
        <f>AND(OR($D239=T1_Region,T1_Region="All Regions"),OR($E239=T1_Income,T1_Income="All Income Groups"))</f>
        <v>1</v>
      </c>
    </row>
    <row r="240" ht="15.0" customHeight="1">
      <c r="A240" s="2" t="s">
        <v>65</v>
      </c>
      <c r="B240" s="2" t="s">
        <v>66</v>
      </c>
      <c r="C240" s="2">
        <v>2023.0</v>
      </c>
      <c r="D240" s="2" t="s">
        <v>19</v>
      </c>
      <c r="E240" s="2" t="s">
        <v>20</v>
      </c>
      <c r="F240" s="2">
        <v>74.93</v>
      </c>
      <c r="G240" s="2">
        <v>82.93</v>
      </c>
      <c r="H240" s="2">
        <v>76.91</v>
      </c>
      <c r="I240" s="2">
        <v>87.54</v>
      </c>
      <c r="J240" s="2">
        <v>80.58</v>
      </c>
      <c r="K240" s="2">
        <v>19.42</v>
      </c>
      <c r="L240" s="2" t="s">
        <v>97</v>
      </c>
      <c r="M240" s="2">
        <v>35215.0</v>
      </c>
      <c r="N240" s="2" t="str">
        <f t="shared" si="1"/>
        <v>Low Risk</v>
      </c>
      <c r="O240" s="2" t="b">
        <f>AND(OR($D240=T1_Region,T1_Region="All Regions"),OR($E240=T1_Income,T1_Income="All Income Groups"))</f>
        <v>1</v>
      </c>
    </row>
    <row r="241" ht="15.0" customHeight="1">
      <c r="A241" s="2" t="s">
        <v>65</v>
      </c>
      <c r="B241" s="2" t="s">
        <v>66</v>
      </c>
      <c r="C241" s="2">
        <v>2024.0</v>
      </c>
      <c r="D241" s="2" t="s">
        <v>19</v>
      </c>
      <c r="E241" s="2" t="s">
        <v>20</v>
      </c>
      <c r="F241" s="2">
        <v>75.32</v>
      </c>
      <c r="G241" s="2">
        <v>82.98</v>
      </c>
      <c r="H241" s="2">
        <v>75.83</v>
      </c>
      <c r="I241" s="2">
        <v>85.27</v>
      </c>
      <c r="J241" s="2">
        <v>79.85</v>
      </c>
      <c r="K241" s="2">
        <v>20.15</v>
      </c>
      <c r="L241" s="2" t="s">
        <v>97</v>
      </c>
      <c r="M241" s="2">
        <v>33797.1</v>
      </c>
      <c r="N241" s="2" t="str">
        <f t="shared" si="1"/>
        <v>Low Risk</v>
      </c>
      <c r="O241" s="2" t="b">
        <f>AND(OR($D241=T1_Region,T1_Region="All Regions"),OR($E241=T1_Income,T1_Income="All Income Groups"))</f>
        <v>1</v>
      </c>
    </row>
    <row r="242" ht="15.0" customHeight="1">
      <c r="A242" s="2" t="s">
        <v>67</v>
      </c>
      <c r="B242" s="2" t="s">
        <v>68</v>
      </c>
      <c r="C242" s="2">
        <v>2013.0</v>
      </c>
      <c r="D242" s="2" t="s">
        <v>50</v>
      </c>
      <c r="E242" s="2" t="s">
        <v>13</v>
      </c>
      <c r="F242" s="2">
        <v>29.06</v>
      </c>
      <c r="G242" s="2">
        <v>45.26</v>
      </c>
      <c r="H242" s="2">
        <v>49.54</v>
      </c>
      <c r="I242" s="2">
        <v>58.18</v>
      </c>
      <c r="J242" s="2">
        <v>45.51</v>
      </c>
      <c r="K242" s="2">
        <v>54.49</v>
      </c>
      <c r="L242" s="2" t="s">
        <v>29</v>
      </c>
      <c r="M242" s="2">
        <v>13478.46</v>
      </c>
      <c r="N242" s="2" t="str">
        <f t="shared" si="1"/>
        <v>Medium Risk</v>
      </c>
      <c r="O242" s="2" t="b">
        <f>AND(OR($D242=T1_Region,T1_Region="All Regions"),OR($E242=T1_Income,T1_Income="All Income Groups"))</f>
        <v>1</v>
      </c>
    </row>
    <row r="243" ht="15.0" customHeight="1">
      <c r="A243" s="2" t="s">
        <v>67</v>
      </c>
      <c r="B243" s="2" t="s">
        <v>68</v>
      </c>
      <c r="C243" s="2">
        <v>2014.0</v>
      </c>
      <c r="D243" s="2" t="s">
        <v>50</v>
      </c>
      <c r="E243" s="2" t="s">
        <v>13</v>
      </c>
      <c r="F243" s="2">
        <v>30.8</v>
      </c>
      <c r="G243" s="2">
        <v>46.68</v>
      </c>
      <c r="H243" s="2">
        <v>52.52</v>
      </c>
      <c r="I243" s="2">
        <v>66.4</v>
      </c>
      <c r="J243" s="2">
        <v>49.1</v>
      </c>
      <c r="K243" s="2">
        <v>50.9</v>
      </c>
      <c r="L243" s="2" t="s">
        <v>29</v>
      </c>
      <c r="M243" s="2">
        <v>12427.71</v>
      </c>
      <c r="N243" s="2" t="str">
        <f t="shared" si="1"/>
        <v>Medium Risk</v>
      </c>
      <c r="O243" s="2" t="b">
        <f>AND(OR($D243=T1_Region,T1_Region="All Regions"),OR($E243=T1_Income,T1_Income="All Income Groups"))</f>
        <v>1</v>
      </c>
    </row>
    <row r="244" ht="15.0" customHeight="1">
      <c r="A244" s="2" t="s">
        <v>67</v>
      </c>
      <c r="B244" s="2" t="s">
        <v>68</v>
      </c>
      <c r="C244" s="2">
        <v>2015.0</v>
      </c>
      <c r="D244" s="2" t="s">
        <v>50</v>
      </c>
      <c r="E244" s="2" t="s">
        <v>13</v>
      </c>
      <c r="F244" s="2">
        <v>30.98</v>
      </c>
      <c r="G244" s="2">
        <v>48.5</v>
      </c>
      <c r="H244" s="2">
        <v>53.74</v>
      </c>
      <c r="I244" s="2">
        <v>66.48</v>
      </c>
      <c r="J244" s="2">
        <v>49.92</v>
      </c>
      <c r="K244" s="2">
        <v>50.08</v>
      </c>
      <c r="L244" s="2" t="s">
        <v>29</v>
      </c>
      <c r="M244" s="2">
        <v>10196.12</v>
      </c>
      <c r="N244" s="2" t="str">
        <f t="shared" si="1"/>
        <v>Medium Risk</v>
      </c>
      <c r="O244" s="2" t="b">
        <f>AND(OR($D244=T1_Region,T1_Region="All Regions"),OR($E244=T1_Income,T1_Income="All Income Groups"))</f>
        <v>1</v>
      </c>
    </row>
    <row r="245" ht="15.0" customHeight="1">
      <c r="A245" s="2" t="s">
        <v>67</v>
      </c>
      <c r="B245" s="2" t="s">
        <v>68</v>
      </c>
      <c r="C245" s="2">
        <v>2016.0</v>
      </c>
      <c r="D245" s="2" t="s">
        <v>50</v>
      </c>
      <c r="E245" s="2" t="s">
        <v>13</v>
      </c>
      <c r="F245" s="2">
        <v>31.93</v>
      </c>
      <c r="G245" s="2">
        <v>48.17</v>
      </c>
      <c r="H245" s="2">
        <v>52.73</v>
      </c>
      <c r="I245" s="2">
        <v>64.42</v>
      </c>
      <c r="J245" s="2">
        <v>49.31</v>
      </c>
      <c r="K245" s="2">
        <v>50.69</v>
      </c>
      <c r="L245" s="2" t="s">
        <v>29</v>
      </c>
      <c r="M245" s="2">
        <v>7475.57</v>
      </c>
      <c r="N245" s="2" t="str">
        <f t="shared" si="1"/>
        <v>Medium Risk</v>
      </c>
      <c r="O245" s="2" t="b">
        <f>AND(OR($D245=T1_Region,T1_Region="All Regions"),OR($E245=T1_Income,T1_Income="All Income Groups"))</f>
        <v>1</v>
      </c>
    </row>
    <row r="246" ht="15.0" customHeight="1">
      <c r="A246" s="2" t="s">
        <v>67</v>
      </c>
      <c r="B246" s="2" t="s">
        <v>68</v>
      </c>
      <c r="C246" s="2">
        <v>2017.0</v>
      </c>
      <c r="D246" s="2" t="s">
        <v>50</v>
      </c>
      <c r="E246" s="2" t="s">
        <v>13</v>
      </c>
      <c r="F246" s="2">
        <v>32.82</v>
      </c>
      <c r="G246" s="2">
        <v>49.02</v>
      </c>
      <c r="H246" s="2">
        <v>56.18</v>
      </c>
      <c r="I246" s="2">
        <v>64.93</v>
      </c>
      <c r="J246" s="2">
        <v>50.74</v>
      </c>
      <c r="K246" s="2">
        <v>49.26</v>
      </c>
      <c r="L246" s="2" t="s">
        <v>29</v>
      </c>
      <c r="M246" s="2">
        <v>8943.08</v>
      </c>
      <c r="N246" s="2" t="str">
        <f t="shared" si="1"/>
        <v>Medium Risk</v>
      </c>
      <c r="O246" s="2" t="b">
        <f>AND(OR($D246=T1_Region,T1_Region="All Regions"),OR($E246=T1_Income,T1_Income="All Income Groups"))</f>
        <v>1</v>
      </c>
    </row>
    <row r="247" ht="15.0" customHeight="1">
      <c r="A247" s="2" t="s">
        <v>67</v>
      </c>
      <c r="B247" s="2" t="s">
        <v>68</v>
      </c>
      <c r="C247" s="2">
        <v>2018.0</v>
      </c>
      <c r="D247" s="2" t="s">
        <v>50</v>
      </c>
      <c r="E247" s="2" t="s">
        <v>13</v>
      </c>
      <c r="F247" s="2">
        <v>37.64</v>
      </c>
      <c r="G247" s="2">
        <v>50.59</v>
      </c>
      <c r="H247" s="2">
        <v>55.73</v>
      </c>
      <c r="I247" s="2">
        <v>64.04</v>
      </c>
      <c r="J247" s="2">
        <v>52.0</v>
      </c>
      <c r="K247" s="2">
        <v>48.0</v>
      </c>
      <c r="L247" s="2" t="s">
        <v>29</v>
      </c>
      <c r="M247" s="2">
        <v>9472.49</v>
      </c>
      <c r="N247" s="2" t="str">
        <f t="shared" si="1"/>
        <v>Medium Risk</v>
      </c>
      <c r="O247" s="2" t="b">
        <f>AND(OR($D247=T1_Region,T1_Region="All Regions"),OR($E247=T1_Income,T1_Income="All Income Groups"))</f>
        <v>1</v>
      </c>
    </row>
    <row r="248" ht="15.0" customHeight="1">
      <c r="A248" s="2" t="s">
        <v>67</v>
      </c>
      <c r="B248" s="2" t="s">
        <v>68</v>
      </c>
      <c r="C248" s="2">
        <v>2019.0</v>
      </c>
      <c r="D248" s="2" t="s">
        <v>50</v>
      </c>
      <c r="E248" s="2" t="s">
        <v>13</v>
      </c>
      <c r="F248" s="2">
        <v>43.66</v>
      </c>
      <c r="G248" s="2">
        <v>49.55</v>
      </c>
      <c r="H248" s="2">
        <v>56.64</v>
      </c>
      <c r="I248" s="2">
        <v>62.12</v>
      </c>
      <c r="J248" s="2">
        <v>52.99</v>
      </c>
      <c r="K248" s="2">
        <v>47.01</v>
      </c>
      <c r="L248" s="2" t="s">
        <v>29</v>
      </c>
      <c r="M248" s="2">
        <v>9457.13</v>
      </c>
      <c r="N248" s="2" t="str">
        <f t="shared" si="1"/>
        <v>Medium Risk</v>
      </c>
      <c r="O248" s="2" t="b">
        <f>AND(OR($D248=T1_Region,T1_Region="All Regions"),OR($E248=T1_Income,T1_Income="All Income Groups"))</f>
        <v>1</v>
      </c>
    </row>
    <row r="249" ht="15.0" customHeight="1">
      <c r="A249" s="2" t="s">
        <v>67</v>
      </c>
      <c r="B249" s="2" t="s">
        <v>68</v>
      </c>
      <c r="C249" s="2">
        <v>2020.0</v>
      </c>
      <c r="D249" s="2" t="s">
        <v>50</v>
      </c>
      <c r="E249" s="2" t="s">
        <v>13</v>
      </c>
      <c r="F249" s="2">
        <v>42.02</v>
      </c>
      <c r="G249" s="2">
        <v>49.81</v>
      </c>
      <c r="H249" s="2">
        <v>55.71</v>
      </c>
      <c r="I249" s="2">
        <v>61.04</v>
      </c>
      <c r="J249" s="2">
        <v>52.15</v>
      </c>
      <c r="K249" s="2">
        <v>47.85</v>
      </c>
      <c r="L249" s="2" t="s">
        <v>29</v>
      </c>
      <c r="M249" s="2">
        <v>8781.51</v>
      </c>
      <c r="N249" s="2" t="str">
        <f t="shared" si="1"/>
        <v>Medium Risk</v>
      </c>
      <c r="O249" s="2" t="b">
        <f>AND(OR($D249=T1_Region,T1_Region="All Regions"),OR($E249=T1_Income,T1_Income="All Income Groups"))</f>
        <v>1</v>
      </c>
    </row>
    <row r="250" ht="15.0" customHeight="1">
      <c r="A250" s="2" t="s">
        <v>67</v>
      </c>
      <c r="B250" s="2" t="s">
        <v>68</v>
      </c>
      <c r="C250" s="2">
        <v>2021.0</v>
      </c>
      <c r="D250" s="2" t="s">
        <v>50</v>
      </c>
      <c r="E250" s="2" t="s">
        <v>13</v>
      </c>
      <c r="F250" s="2">
        <v>42.39</v>
      </c>
      <c r="G250" s="2">
        <v>48.95</v>
      </c>
      <c r="H250" s="2">
        <v>55.07</v>
      </c>
      <c r="I250" s="2">
        <v>61.92</v>
      </c>
      <c r="J250" s="2">
        <v>52.08</v>
      </c>
      <c r="K250" s="2">
        <v>47.92</v>
      </c>
      <c r="L250" s="2" t="s">
        <v>29</v>
      </c>
      <c r="M250" s="2">
        <v>9983.6</v>
      </c>
      <c r="N250" s="2" t="str">
        <f t="shared" si="1"/>
        <v>Medium Risk</v>
      </c>
      <c r="O250" s="2" t="b">
        <f>AND(OR($D250=T1_Region,T1_Region="All Regions"),OR($E250=T1_Income,T1_Income="All Income Groups"))</f>
        <v>1</v>
      </c>
    </row>
    <row r="251" ht="15.0" customHeight="1">
      <c r="A251" s="2" t="s">
        <v>67</v>
      </c>
      <c r="B251" s="2" t="s">
        <v>68</v>
      </c>
      <c r="C251" s="2">
        <v>2022.0</v>
      </c>
      <c r="D251" s="2" t="s">
        <v>50</v>
      </c>
      <c r="E251" s="2" t="s">
        <v>13</v>
      </c>
      <c r="F251" s="2">
        <v>43.97</v>
      </c>
      <c r="G251" s="2">
        <v>49.38</v>
      </c>
      <c r="H251" s="2">
        <v>53.85</v>
      </c>
      <c r="I251" s="2">
        <v>55.99</v>
      </c>
      <c r="J251" s="2">
        <v>50.8</v>
      </c>
      <c r="K251" s="2">
        <v>49.2</v>
      </c>
      <c r="L251" s="2" t="s">
        <v>29</v>
      </c>
      <c r="M251" s="2">
        <v>11255.34</v>
      </c>
      <c r="N251" s="2" t="str">
        <f t="shared" si="1"/>
        <v>Medium Risk</v>
      </c>
      <c r="O251" s="2" t="b">
        <f>AND(OR($D251=T1_Region,T1_Region="All Regions"),OR($E251=T1_Income,T1_Income="All Income Groups"))</f>
        <v>1</v>
      </c>
    </row>
    <row r="252" ht="15.0" customHeight="1">
      <c r="A252" s="2" t="s">
        <v>67</v>
      </c>
      <c r="B252" s="2" t="s">
        <v>68</v>
      </c>
      <c r="C252" s="2">
        <v>2023.0</v>
      </c>
      <c r="D252" s="2" t="s">
        <v>50</v>
      </c>
      <c r="E252" s="2" t="s">
        <v>13</v>
      </c>
      <c r="F252" s="2">
        <v>43.35</v>
      </c>
      <c r="G252" s="2">
        <v>50.46</v>
      </c>
      <c r="H252" s="2">
        <v>54.95</v>
      </c>
      <c r="I252" s="2">
        <v>62.44</v>
      </c>
      <c r="J252" s="2">
        <v>52.8</v>
      </c>
      <c r="K252" s="2">
        <v>47.2</v>
      </c>
      <c r="L252" s="2" t="s">
        <v>29</v>
      </c>
      <c r="M252" s="2">
        <v>12879.43</v>
      </c>
      <c r="N252" s="2" t="str">
        <f t="shared" si="1"/>
        <v>Medium Risk</v>
      </c>
      <c r="O252" s="2" t="b">
        <f>AND(OR($D252=T1_Region,T1_Region="All Regions"),OR($E252=T1_Income,T1_Income="All Income Groups"))</f>
        <v>1</v>
      </c>
    </row>
    <row r="253" ht="15.0" customHeight="1">
      <c r="A253" s="2" t="s">
        <v>67</v>
      </c>
      <c r="B253" s="2" t="s">
        <v>68</v>
      </c>
      <c r="C253" s="2">
        <v>2024.0</v>
      </c>
      <c r="D253" s="2" t="s">
        <v>50</v>
      </c>
      <c r="E253" s="2" t="s">
        <v>13</v>
      </c>
      <c r="F253" s="2">
        <v>46.5</v>
      </c>
      <c r="G253" s="2">
        <v>50.4</v>
      </c>
      <c r="H253" s="2">
        <v>55.6</v>
      </c>
      <c r="I253" s="2">
        <v>61.06</v>
      </c>
      <c r="J253" s="2">
        <v>53.39</v>
      </c>
      <c r="K253" s="2">
        <v>46.61</v>
      </c>
      <c r="L253" s="2" t="s">
        <v>29</v>
      </c>
      <c r="M253" s="2">
        <v>14154.63</v>
      </c>
      <c r="N253" s="2" t="str">
        <f t="shared" si="1"/>
        <v>Medium Risk</v>
      </c>
      <c r="O253" s="2" t="b">
        <f>AND(OR($D253=T1_Region,T1_Region="All Regions"),OR($E253=T1_Income,T1_Income="All Income Groups"))</f>
        <v>1</v>
      </c>
    </row>
    <row r="254" ht="15.0" customHeight="1">
      <c r="A254" s="2" t="s">
        <v>69</v>
      </c>
      <c r="B254" s="2" t="s">
        <v>70</v>
      </c>
      <c r="C254" s="2">
        <v>2013.0</v>
      </c>
      <c r="D254" s="2" t="s">
        <v>41</v>
      </c>
      <c r="E254" s="2" t="s">
        <v>26</v>
      </c>
      <c r="F254" s="2">
        <v>28.94</v>
      </c>
      <c r="G254" s="2">
        <v>44.22</v>
      </c>
      <c r="H254" s="2">
        <v>46.88</v>
      </c>
      <c r="I254" s="2">
        <v>45.96</v>
      </c>
      <c r="J254" s="2">
        <v>41.5</v>
      </c>
      <c r="K254" s="2">
        <v>58.5</v>
      </c>
      <c r="L254" s="2" t="s">
        <v>29</v>
      </c>
      <c r="M254" s="2">
        <v>1370.88</v>
      </c>
      <c r="N254" s="2" t="str">
        <f t="shared" si="1"/>
        <v>Medium Risk</v>
      </c>
      <c r="O254" s="2" t="b">
        <f>AND(OR($D254=T1_Region,T1_Region="All Regions"),OR($E254=T1_Income,T1_Income="All Income Groups"))</f>
        <v>1</v>
      </c>
    </row>
    <row r="255" ht="15.0" customHeight="1">
      <c r="A255" s="2" t="s">
        <v>69</v>
      </c>
      <c r="B255" s="2" t="s">
        <v>70</v>
      </c>
      <c r="C255" s="2">
        <v>2014.0</v>
      </c>
      <c r="D255" s="2" t="s">
        <v>41</v>
      </c>
      <c r="E255" s="2" t="s">
        <v>26</v>
      </c>
      <c r="F255" s="2">
        <v>30.97</v>
      </c>
      <c r="G255" s="2">
        <v>47.48</v>
      </c>
      <c r="H255" s="2">
        <v>49.72</v>
      </c>
      <c r="I255" s="2">
        <v>44.32</v>
      </c>
      <c r="J255" s="2">
        <v>43.12</v>
      </c>
      <c r="K255" s="2">
        <v>56.88</v>
      </c>
      <c r="L255" s="2" t="s">
        <v>29</v>
      </c>
      <c r="M255" s="2">
        <v>1482.82</v>
      </c>
      <c r="N255" s="2" t="str">
        <f t="shared" si="1"/>
        <v>Medium Risk</v>
      </c>
      <c r="O255" s="2" t="b">
        <f>AND(OR($D255=T1_Region,T1_Region="All Regions"),OR($E255=T1_Income,T1_Income="All Income Groups"))</f>
        <v>1</v>
      </c>
    </row>
    <row r="256" ht="15.0" customHeight="1">
      <c r="A256" s="2" t="s">
        <v>69</v>
      </c>
      <c r="B256" s="2" t="s">
        <v>70</v>
      </c>
      <c r="C256" s="2">
        <v>2015.0</v>
      </c>
      <c r="D256" s="2" t="s">
        <v>41</v>
      </c>
      <c r="E256" s="2" t="s">
        <v>26</v>
      </c>
      <c r="F256" s="2">
        <v>28.2</v>
      </c>
      <c r="G256" s="2">
        <v>45.91</v>
      </c>
      <c r="H256" s="2">
        <v>50.3</v>
      </c>
      <c r="I256" s="2">
        <v>44.87</v>
      </c>
      <c r="J256" s="2">
        <v>42.32</v>
      </c>
      <c r="K256" s="2">
        <v>57.68</v>
      </c>
      <c r="L256" s="2" t="s">
        <v>29</v>
      </c>
      <c r="M256" s="2">
        <v>1489.12</v>
      </c>
      <c r="N256" s="2" t="str">
        <f t="shared" si="1"/>
        <v>Medium Risk</v>
      </c>
      <c r="O256" s="2" t="b">
        <f>AND(OR($D256=T1_Region,T1_Region="All Regions"),OR($E256=T1_Income,T1_Income="All Income Groups"))</f>
        <v>1</v>
      </c>
    </row>
    <row r="257" ht="15.0" customHeight="1">
      <c r="A257" s="2" t="s">
        <v>69</v>
      </c>
      <c r="B257" s="2" t="s">
        <v>70</v>
      </c>
      <c r="C257" s="2">
        <v>2016.0</v>
      </c>
      <c r="D257" s="2" t="s">
        <v>41</v>
      </c>
      <c r="E257" s="2" t="s">
        <v>26</v>
      </c>
      <c r="F257" s="2">
        <v>29.62</v>
      </c>
      <c r="G257" s="2">
        <v>46.42</v>
      </c>
      <c r="H257" s="2">
        <v>51.28</v>
      </c>
      <c r="I257" s="2">
        <v>45.75</v>
      </c>
      <c r="J257" s="2">
        <v>43.27</v>
      </c>
      <c r="K257" s="2">
        <v>56.73</v>
      </c>
      <c r="L257" s="2" t="s">
        <v>29</v>
      </c>
      <c r="M257" s="2">
        <v>1554.13</v>
      </c>
      <c r="N257" s="2" t="str">
        <f t="shared" si="1"/>
        <v>Medium Risk</v>
      </c>
      <c r="O257" s="2" t="b">
        <f>AND(OR($D257=T1_Region,T1_Region="All Regions"),OR($E257=T1_Income,T1_Income="All Income Groups"))</f>
        <v>1</v>
      </c>
    </row>
    <row r="258" ht="15.0" customHeight="1">
      <c r="A258" s="2" t="s">
        <v>69</v>
      </c>
      <c r="B258" s="2" t="s">
        <v>70</v>
      </c>
      <c r="C258" s="2">
        <v>2017.0</v>
      </c>
      <c r="D258" s="2" t="s">
        <v>41</v>
      </c>
      <c r="E258" s="2" t="s">
        <v>26</v>
      </c>
      <c r="F258" s="2">
        <v>29.67</v>
      </c>
      <c r="G258" s="2">
        <v>47.6</v>
      </c>
      <c r="H258" s="2">
        <v>51.73</v>
      </c>
      <c r="I258" s="2">
        <v>46.55</v>
      </c>
      <c r="J258" s="2">
        <v>43.89</v>
      </c>
      <c r="K258" s="2">
        <v>56.11</v>
      </c>
      <c r="L258" s="2" t="s">
        <v>29</v>
      </c>
      <c r="M258" s="2">
        <v>1667.48</v>
      </c>
      <c r="N258" s="2" t="str">
        <f t="shared" si="1"/>
        <v>Medium Risk</v>
      </c>
      <c r="O258" s="2" t="b">
        <f>AND(OR($D258=T1_Region,T1_Region="All Regions"),OR($E258=T1_Income,T1_Income="All Income Groups"))</f>
        <v>1</v>
      </c>
    </row>
    <row r="259" ht="15.0" customHeight="1">
      <c r="A259" s="2" t="s">
        <v>69</v>
      </c>
      <c r="B259" s="2" t="s">
        <v>70</v>
      </c>
      <c r="C259" s="2">
        <v>2018.0</v>
      </c>
      <c r="D259" s="2" t="s">
        <v>41</v>
      </c>
      <c r="E259" s="2" t="s">
        <v>26</v>
      </c>
      <c r="F259" s="2">
        <v>30.97</v>
      </c>
      <c r="G259" s="2">
        <v>48.17</v>
      </c>
      <c r="H259" s="2">
        <v>50.14</v>
      </c>
      <c r="I259" s="2">
        <v>46.77</v>
      </c>
      <c r="J259" s="2">
        <v>44.01</v>
      </c>
      <c r="K259" s="2">
        <v>55.99</v>
      </c>
      <c r="L259" s="2" t="s">
        <v>29</v>
      </c>
      <c r="M259" s="2">
        <v>1836.45</v>
      </c>
      <c r="N259" s="2" t="str">
        <f t="shared" si="1"/>
        <v>Medium Risk</v>
      </c>
      <c r="O259" s="2" t="b">
        <f>AND(OR($D259=T1_Region,T1_Region="All Regions"),OR($E259=T1_Income,T1_Income="All Income Groups"))</f>
        <v>1</v>
      </c>
    </row>
    <row r="260" ht="15.0" customHeight="1">
      <c r="A260" s="2" t="s">
        <v>69</v>
      </c>
      <c r="B260" s="2" t="s">
        <v>70</v>
      </c>
      <c r="C260" s="2">
        <v>2019.0</v>
      </c>
      <c r="D260" s="2" t="s">
        <v>41</v>
      </c>
      <c r="E260" s="2" t="s">
        <v>26</v>
      </c>
      <c r="F260" s="2">
        <v>31.47</v>
      </c>
      <c r="G260" s="2">
        <v>47.34</v>
      </c>
      <c r="H260" s="2">
        <v>49.44</v>
      </c>
      <c r="I260" s="2">
        <v>47.53</v>
      </c>
      <c r="J260" s="2">
        <v>43.95</v>
      </c>
      <c r="K260" s="2">
        <v>56.05</v>
      </c>
      <c r="L260" s="2" t="s">
        <v>29</v>
      </c>
      <c r="M260" s="2">
        <v>1960.41</v>
      </c>
      <c r="N260" s="2" t="str">
        <f t="shared" si="1"/>
        <v>Medium Risk</v>
      </c>
      <c r="O260" s="2" t="b">
        <f>AND(OR($D260=T1_Region,T1_Region="All Regions"),OR($E260=T1_Income,T1_Income="All Income Groups"))</f>
        <v>1</v>
      </c>
    </row>
    <row r="261" ht="15.0" customHeight="1">
      <c r="A261" s="2" t="s">
        <v>69</v>
      </c>
      <c r="B261" s="2" t="s">
        <v>70</v>
      </c>
      <c r="C261" s="2">
        <v>2020.0</v>
      </c>
      <c r="D261" s="2" t="s">
        <v>41</v>
      </c>
      <c r="E261" s="2" t="s">
        <v>26</v>
      </c>
      <c r="F261" s="2">
        <v>32.66</v>
      </c>
      <c r="G261" s="2">
        <v>47.01</v>
      </c>
      <c r="H261" s="2">
        <v>47.61</v>
      </c>
      <c r="I261" s="2">
        <v>47.95</v>
      </c>
      <c r="J261" s="2">
        <v>43.81</v>
      </c>
      <c r="K261" s="2">
        <v>56.19</v>
      </c>
      <c r="L261" s="2" t="s">
        <v>29</v>
      </c>
      <c r="M261" s="2">
        <v>1927.66</v>
      </c>
      <c r="N261" s="2" t="str">
        <f t="shared" si="1"/>
        <v>Medium Risk</v>
      </c>
      <c r="O261" s="2" t="b">
        <f>AND(OR($D261=T1_Region,T1_Region="All Regions"),OR($E261=T1_Income,T1_Income="All Income Groups"))</f>
        <v>1</v>
      </c>
    </row>
    <row r="262" ht="15.0" customHeight="1">
      <c r="A262" s="2" t="s">
        <v>69</v>
      </c>
      <c r="B262" s="2" t="s">
        <v>70</v>
      </c>
      <c r="C262" s="2">
        <v>2021.0</v>
      </c>
      <c r="D262" s="2" t="s">
        <v>41</v>
      </c>
      <c r="E262" s="2" t="s">
        <v>26</v>
      </c>
      <c r="F262" s="2">
        <v>33.47</v>
      </c>
      <c r="G262" s="2">
        <v>49.3</v>
      </c>
      <c r="H262" s="2">
        <v>48.16</v>
      </c>
      <c r="I262" s="2">
        <v>46.93</v>
      </c>
      <c r="J262" s="2">
        <v>44.46</v>
      </c>
      <c r="K262" s="2">
        <v>55.54</v>
      </c>
      <c r="L262" s="2" t="s">
        <v>29</v>
      </c>
      <c r="M262" s="2">
        <v>2061.36</v>
      </c>
      <c r="N262" s="2" t="str">
        <f t="shared" si="1"/>
        <v>Medium Risk</v>
      </c>
      <c r="O262" s="2" t="b">
        <f>AND(OR($D262=T1_Region,T1_Region="All Regions"),OR($E262=T1_Income,T1_Income="All Income Groups"))</f>
        <v>1</v>
      </c>
    </row>
    <row r="263" ht="15.0" customHeight="1">
      <c r="A263" s="2" t="s">
        <v>69</v>
      </c>
      <c r="B263" s="2" t="s">
        <v>70</v>
      </c>
      <c r="C263" s="2">
        <v>2022.0</v>
      </c>
      <c r="D263" s="2" t="s">
        <v>41</v>
      </c>
      <c r="E263" s="2" t="s">
        <v>26</v>
      </c>
      <c r="F263" s="2">
        <v>32.65</v>
      </c>
      <c r="G263" s="2">
        <v>49.66</v>
      </c>
      <c r="H263" s="2">
        <v>48.7</v>
      </c>
      <c r="I263" s="2">
        <v>49.46</v>
      </c>
      <c r="J263" s="2">
        <v>45.12</v>
      </c>
      <c r="K263" s="2">
        <v>54.88</v>
      </c>
      <c r="L263" s="2" t="s">
        <v>29</v>
      </c>
      <c r="M263" s="2">
        <v>2109.56</v>
      </c>
      <c r="N263" s="2" t="str">
        <f t="shared" si="1"/>
        <v>Medium Risk</v>
      </c>
      <c r="O263" s="2" t="b">
        <f>AND(OR($D263=T1_Region,T1_Region="All Regions"),OR($E263=T1_Income,T1_Income="All Income Groups"))</f>
        <v>1</v>
      </c>
    </row>
    <row r="264" ht="15.0" customHeight="1">
      <c r="A264" s="2" t="s">
        <v>69</v>
      </c>
      <c r="B264" s="2" t="s">
        <v>70</v>
      </c>
      <c r="C264" s="2">
        <v>2023.0</v>
      </c>
      <c r="D264" s="2" t="s">
        <v>41</v>
      </c>
      <c r="E264" s="2" t="s">
        <v>26</v>
      </c>
      <c r="F264" s="2">
        <v>32.48</v>
      </c>
      <c r="G264" s="2">
        <v>49.61</v>
      </c>
      <c r="H264" s="2">
        <v>48.58</v>
      </c>
      <c r="I264" s="2">
        <v>49.3</v>
      </c>
      <c r="J264" s="2">
        <v>44.99</v>
      </c>
      <c r="K264" s="2">
        <v>55.01</v>
      </c>
      <c r="L264" s="2" t="s">
        <v>29</v>
      </c>
      <c r="M264" s="2">
        <v>1942.59</v>
      </c>
      <c r="N264" s="2" t="str">
        <f t="shared" si="1"/>
        <v>Medium Risk</v>
      </c>
      <c r="O264" s="2" t="b">
        <f>AND(OR($D264=T1_Region,T1_Region="All Regions"),OR($E264=T1_Income,T1_Income="All Income Groups"))</f>
        <v>1</v>
      </c>
    </row>
    <row r="265" ht="15.0" customHeight="1">
      <c r="A265" s="2" t="s">
        <v>69</v>
      </c>
      <c r="B265" s="2" t="s">
        <v>70</v>
      </c>
      <c r="C265" s="2">
        <v>2024.0</v>
      </c>
      <c r="D265" s="2" t="s">
        <v>41</v>
      </c>
      <c r="E265" s="2" t="s">
        <v>26</v>
      </c>
      <c r="F265" s="2">
        <v>31.62</v>
      </c>
      <c r="G265" s="2">
        <v>48.97</v>
      </c>
      <c r="H265" s="2">
        <v>49.6</v>
      </c>
      <c r="I265" s="2">
        <v>42.74</v>
      </c>
      <c r="J265" s="2">
        <v>43.23</v>
      </c>
      <c r="K265" s="2">
        <v>56.77</v>
      </c>
      <c r="L265" s="2" t="s">
        <v>29</v>
      </c>
      <c r="M265" s="2">
        <v>2133.46</v>
      </c>
      <c r="N265" s="2" t="str">
        <f t="shared" si="1"/>
        <v>Medium Risk</v>
      </c>
      <c r="O265" s="2" t="b">
        <f>AND(OR($D265=T1_Region,T1_Region="All Regions"),OR($E265=T1_Income,T1_Income="All Income Groups"))</f>
        <v>1</v>
      </c>
    </row>
    <row r="266" ht="15.0" customHeight="1">
      <c r="A266" s="2" t="s">
        <v>71</v>
      </c>
      <c r="B266" s="2" t="s">
        <v>72</v>
      </c>
      <c r="C266" s="2">
        <v>2013.0</v>
      </c>
      <c r="D266" s="2" t="s">
        <v>11</v>
      </c>
      <c r="E266" s="2" t="s">
        <v>13</v>
      </c>
      <c r="F266" s="2">
        <v>37.1</v>
      </c>
      <c r="G266" s="2">
        <v>45.82</v>
      </c>
      <c r="H266" s="2">
        <v>59.38</v>
      </c>
      <c r="I266" s="2">
        <v>52.15</v>
      </c>
      <c r="J266" s="2">
        <v>48.61</v>
      </c>
      <c r="K266" s="2">
        <v>51.39</v>
      </c>
      <c r="L266" s="2" t="s">
        <v>29</v>
      </c>
      <c r="M266" s="2">
        <v>11216.8</v>
      </c>
      <c r="N266" s="2" t="str">
        <f t="shared" si="1"/>
        <v>Medium Risk</v>
      </c>
      <c r="O266" s="2" t="b">
        <f>AND(OR($D266=T1_Region,T1_Region="All Regions"),OR($E266=T1_Income,T1_Income="All Income Groups"))</f>
        <v>1</v>
      </c>
    </row>
    <row r="267" ht="15.0" customHeight="1">
      <c r="A267" s="2" t="s">
        <v>71</v>
      </c>
      <c r="B267" s="2" t="s">
        <v>72</v>
      </c>
      <c r="C267" s="2">
        <v>2014.0</v>
      </c>
      <c r="D267" s="2" t="s">
        <v>11</v>
      </c>
      <c r="E267" s="2" t="s">
        <v>13</v>
      </c>
      <c r="F267" s="2">
        <v>32.62</v>
      </c>
      <c r="G267" s="2">
        <v>46.93</v>
      </c>
      <c r="H267" s="2">
        <v>58.15</v>
      </c>
      <c r="I267" s="2">
        <v>49.5</v>
      </c>
      <c r="J267" s="2">
        <v>46.8</v>
      </c>
      <c r="K267" s="2">
        <v>53.2</v>
      </c>
      <c r="L267" s="2" t="s">
        <v>29</v>
      </c>
      <c r="M267" s="2">
        <v>11391.38</v>
      </c>
      <c r="N267" s="2" t="str">
        <f t="shared" si="1"/>
        <v>Medium Risk</v>
      </c>
      <c r="O267" s="2" t="b">
        <f>AND(OR($D267=T1_Region,T1_Region="All Regions"),OR($E267=T1_Income,T1_Income="All Income Groups"))</f>
        <v>1</v>
      </c>
    </row>
    <row r="268" ht="15.0" customHeight="1">
      <c r="A268" s="2" t="s">
        <v>71</v>
      </c>
      <c r="B268" s="2" t="s">
        <v>72</v>
      </c>
      <c r="C268" s="2">
        <v>2015.0</v>
      </c>
      <c r="D268" s="2" t="s">
        <v>11</v>
      </c>
      <c r="E268" s="2" t="s">
        <v>13</v>
      </c>
      <c r="F268" s="2">
        <v>30.83</v>
      </c>
      <c r="G268" s="2">
        <v>45.21</v>
      </c>
      <c r="H268" s="2">
        <v>57.74</v>
      </c>
      <c r="I268" s="2">
        <v>50.65</v>
      </c>
      <c r="J268" s="2">
        <v>46.11</v>
      </c>
      <c r="K268" s="2">
        <v>53.89</v>
      </c>
      <c r="L268" s="2" t="s">
        <v>29</v>
      </c>
      <c r="M268" s="2">
        <v>10021.24</v>
      </c>
      <c r="N268" s="2" t="str">
        <f t="shared" si="1"/>
        <v>Medium Risk</v>
      </c>
      <c r="O268" s="2" t="b">
        <f>AND(OR($D268=T1_Region,T1_Region="All Regions"),OR($E268=T1_Income,T1_Income="All Income Groups"))</f>
        <v>1</v>
      </c>
    </row>
    <row r="269" ht="15.0" customHeight="1">
      <c r="A269" s="2" t="s">
        <v>71</v>
      </c>
      <c r="B269" s="2" t="s">
        <v>72</v>
      </c>
      <c r="C269" s="2">
        <v>2016.0</v>
      </c>
      <c r="D269" s="2" t="s">
        <v>11</v>
      </c>
      <c r="E269" s="2" t="s">
        <v>13</v>
      </c>
      <c r="F269" s="2">
        <v>31.23</v>
      </c>
      <c r="G269" s="2">
        <v>45.47</v>
      </c>
      <c r="H269" s="2">
        <v>57.4</v>
      </c>
      <c r="I269" s="2">
        <v>51.65</v>
      </c>
      <c r="J269" s="2">
        <v>46.44</v>
      </c>
      <c r="K269" s="2">
        <v>53.56</v>
      </c>
      <c r="L269" s="2" t="s">
        <v>29</v>
      </c>
      <c r="M269" s="2">
        <v>9097.92</v>
      </c>
      <c r="N269" s="2" t="str">
        <f t="shared" si="1"/>
        <v>Medium Risk</v>
      </c>
      <c r="O269" s="2" t="b">
        <f>AND(OR($D269=T1_Region,T1_Region="All Regions"),OR($E269=T1_Income,T1_Income="All Income Groups"))</f>
        <v>1</v>
      </c>
    </row>
    <row r="270" ht="15.0" customHeight="1">
      <c r="A270" s="2" t="s">
        <v>71</v>
      </c>
      <c r="B270" s="2" t="s">
        <v>72</v>
      </c>
      <c r="C270" s="2">
        <v>2017.0</v>
      </c>
      <c r="D270" s="2" t="s">
        <v>11</v>
      </c>
      <c r="E270" s="2" t="s">
        <v>13</v>
      </c>
      <c r="F270" s="2">
        <v>28.66</v>
      </c>
      <c r="G270" s="2">
        <v>44.4</v>
      </c>
      <c r="H270" s="2">
        <v>57.45</v>
      </c>
      <c r="I270" s="2">
        <v>48.03</v>
      </c>
      <c r="J270" s="2">
        <v>44.64</v>
      </c>
      <c r="K270" s="2">
        <v>55.36</v>
      </c>
      <c r="L270" s="2" t="s">
        <v>29</v>
      </c>
      <c r="M270" s="2">
        <v>9649.28</v>
      </c>
      <c r="N270" s="2" t="str">
        <f t="shared" si="1"/>
        <v>Medium Risk</v>
      </c>
      <c r="O270" s="2" t="b">
        <f>AND(OR($D270=T1_Region,T1_Region="All Regions"),OR($E270=T1_Income,T1_Income="All Income Groups"))</f>
        <v>1</v>
      </c>
    </row>
    <row r="271" ht="15.0" customHeight="1">
      <c r="A271" s="2" t="s">
        <v>71</v>
      </c>
      <c r="B271" s="2" t="s">
        <v>72</v>
      </c>
      <c r="C271" s="2">
        <v>2018.0</v>
      </c>
      <c r="D271" s="2" t="s">
        <v>11</v>
      </c>
      <c r="E271" s="2" t="s">
        <v>13</v>
      </c>
      <c r="F271" s="2">
        <v>28.77</v>
      </c>
      <c r="G271" s="2">
        <v>43.09</v>
      </c>
      <c r="H271" s="2">
        <v>54.81</v>
      </c>
      <c r="I271" s="2">
        <v>50.05</v>
      </c>
      <c r="J271" s="2">
        <v>44.18</v>
      </c>
      <c r="K271" s="2">
        <v>55.82</v>
      </c>
      <c r="L271" s="2" t="s">
        <v>29</v>
      </c>
      <c r="M271" s="2">
        <v>10084.79</v>
      </c>
      <c r="N271" s="2" t="str">
        <f t="shared" si="1"/>
        <v>Medium Risk</v>
      </c>
      <c r="O271" s="2" t="b">
        <f>AND(OR($D271=T1_Region,T1_Region="All Regions"),OR($E271=T1_Income,T1_Income="All Income Groups"))</f>
        <v>1</v>
      </c>
    </row>
    <row r="272" ht="15.0" customHeight="1">
      <c r="A272" s="2" t="s">
        <v>71</v>
      </c>
      <c r="B272" s="2" t="s">
        <v>72</v>
      </c>
      <c r="C272" s="2">
        <v>2019.0</v>
      </c>
      <c r="D272" s="2" t="s">
        <v>11</v>
      </c>
      <c r="E272" s="2" t="s">
        <v>13</v>
      </c>
      <c r="F272" s="2">
        <v>29.85</v>
      </c>
      <c r="G272" s="2">
        <v>41.89</v>
      </c>
      <c r="H272" s="2">
        <v>54.2</v>
      </c>
      <c r="I272" s="2">
        <v>50.56</v>
      </c>
      <c r="J272" s="2">
        <v>44.13</v>
      </c>
      <c r="K272" s="2">
        <v>55.87</v>
      </c>
      <c r="L272" s="2" t="s">
        <v>29</v>
      </c>
      <c r="M272" s="2">
        <v>10369.56</v>
      </c>
      <c r="N272" s="2" t="str">
        <f t="shared" si="1"/>
        <v>Medium Risk</v>
      </c>
      <c r="O272" s="2" t="b">
        <f>AND(OR($D272=T1_Region,T1_Region="All Regions"),OR($E272=T1_Income,T1_Income="All Income Groups"))</f>
        <v>1</v>
      </c>
    </row>
    <row r="273" ht="15.0" customHeight="1">
      <c r="A273" s="2" t="s">
        <v>71</v>
      </c>
      <c r="B273" s="2" t="s">
        <v>72</v>
      </c>
      <c r="C273" s="2">
        <v>2020.0</v>
      </c>
      <c r="D273" s="2" t="s">
        <v>11</v>
      </c>
      <c r="E273" s="2" t="s">
        <v>13</v>
      </c>
      <c r="F273" s="2">
        <v>30.57</v>
      </c>
      <c r="G273" s="2">
        <v>39.98</v>
      </c>
      <c r="H273" s="2">
        <v>52.98</v>
      </c>
      <c r="I273" s="2">
        <v>52.62</v>
      </c>
      <c r="J273" s="2">
        <v>44.04</v>
      </c>
      <c r="K273" s="2">
        <v>55.96</v>
      </c>
      <c r="L273" s="2" t="s">
        <v>29</v>
      </c>
      <c r="M273" s="2">
        <v>8841.27</v>
      </c>
      <c r="N273" s="2" t="str">
        <f t="shared" si="1"/>
        <v>Medium Risk</v>
      </c>
      <c r="O273" s="2" t="b">
        <f>AND(OR($D273=T1_Region,T1_Region="All Regions"),OR($E273=T1_Income,T1_Income="All Income Groups"))</f>
        <v>1</v>
      </c>
    </row>
    <row r="274" ht="15.0" customHeight="1">
      <c r="A274" s="2" t="s">
        <v>71</v>
      </c>
      <c r="B274" s="2" t="s">
        <v>72</v>
      </c>
      <c r="C274" s="2">
        <v>2021.0</v>
      </c>
      <c r="D274" s="2" t="s">
        <v>11</v>
      </c>
      <c r="E274" s="2" t="s">
        <v>13</v>
      </c>
      <c r="F274" s="2">
        <v>30.18</v>
      </c>
      <c r="G274" s="2">
        <v>39.33</v>
      </c>
      <c r="H274" s="2">
        <v>51.85</v>
      </c>
      <c r="I274" s="2">
        <v>53.32</v>
      </c>
      <c r="J274" s="2">
        <v>43.67</v>
      </c>
      <c r="K274" s="2">
        <v>56.33</v>
      </c>
      <c r="L274" s="2" t="s">
        <v>29</v>
      </c>
      <c r="M274" s="2">
        <v>10314.05</v>
      </c>
      <c r="N274" s="2" t="str">
        <f t="shared" si="1"/>
        <v>Medium Risk</v>
      </c>
      <c r="O274" s="2" t="b">
        <f>AND(OR($D274=T1_Region,T1_Region="All Regions"),OR($E274=T1_Income,T1_Income="All Income Groups"))</f>
        <v>1</v>
      </c>
    </row>
    <row r="275" ht="15.0" customHeight="1">
      <c r="A275" s="2" t="s">
        <v>71</v>
      </c>
      <c r="B275" s="2" t="s">
        <v>72</v>
      </c>
      <c r="C275" s="2">
        <v>2022.0</v>
      </c>
      <c r="D275" s="2" t="s">
        <v>11</v>
      </c>
      <c r="E275" s="2" t="s">
        <v>13</v>
      </c>
      <c r="F275" s="2">
        <v>30.13</v>
      </c>
      <c r="G275" s="2">
        <v>38.34</v>
      </c>
      <c r="H275" s="2">
        <v>52.4</v>
      </c>
      <c r="I275" s="2">
        <v>55.83</v>
      </c>
      <c r="J275" s="2">
        <v>44.17</v>
      </c>
      <c r="K275" s="2">
        <v>55.83</v>
      </c>
      <c r="L275" s="2" t="s">
        <v>29</v>
      </c>
      <c r="M275" s="2">
        <v>11405.79</v>
      </c>
      <c r="N275" s="2" t="str">
        <f t="shared" si="1"/>
        <v>Medium Risk</v>
      </c>
      <c r="O275" s="2" t="b">
        <f>AND(OR($D275=T1_Region,T1_Region="All Regions"),OR($E275=T1_Income,T1_Income="All Income Groups"))</f>
        <v>1</v>
      </c>
    </row>
    <row r="276" ht="15.0" customHeight="1">
      <c r="A276" s="2" t="s">
        <v>71</v>
      </c>
      <c r="B276" s="2" t="s">
        <v>72</v>
      </c>
      <c r="C276" s="2">
        <v>2023.0</v>
      </c>
      <c r="D276" s="2" t="s">
        <v>11</v>
      </c>
      <c r="E276" s="2" t="s">
        <v>13</v>
      </c>
      <c r="F276" s="2">
        <v>28.99</v>
      </c>
      <c r="G276" s="2">
        <v>38.42</v>
      </c>
      <c r="H276" s="2">
        <v>52.09</v>
      </c>
      <c r="I276" s="2">
        <v>55.67</v>
      </c>
      <c r="J276" s="2">
        <v>43.79</v>
      </c>
      <c r="K276" s="2">
        <v>56.21</v>
      </c>
      <c r="L276" s="2" t="s">
        <v>29</v>
      </c>
      <c r="M276" s="2">
        <v>13830.84</v>
      </c>
      <c r="N276" s="2" t="str">
        <f t="shared" si="1"/>
        <v>Medium Risk</v>
      </c>
      <c r="O276" s="2" t="b">
        <f>AND(OR($D276=T1_Region,T1_Region="All Regions"),OR($E276=T1_Income,T1_Income="All Income Groups"))</f>
        <v>1</v>
      </c>
    </row>
    <row r="277" ht="15.0" customHeight="1">
      <c r="A277" s="2" t="s">
        <v>71</v>
      </c>
      <c r="B277" s="2" t="s">
        <v>72</v>
      </c>
      <c r="C277" s="2">
        <v>2024.0</v>
      </c>
      <c r="D277" s="2" t="s">
        <v>11</v>
      </c>
      <c r="E277" s="2" t="s">
        <v>13</v>
      </c>
      <c r="F277" s="2">
        <v>28.81</v>
      </c>
      <c r="G277" s="2">
        <v>37.11</v>
      </c>
      <c r="H277" s="2">
        <v>51.77</v>
      </c>
      <c r="I277" s="2">
        <v>53.67</v>
      </c>
      <c r="J277" s="2">
        <v>42.84</v>
      </c>
      <c r="K277" s="2">
        <v>57.16</v>
      </c>
      <c r="L277" s="2" t="s">
        <v>29</v>
      </c>
      <c r="M277" s="2">
        <v>13988.04</v>
      </c>
      <c r="N277" s="2" t="str">
        <f t="shared" si="1"/>
        <v>Medium Risk</v>
      </c>
      <c r="O277" s="2" t="b">
        <f>AND(OR($D277=T1_Region,T1_Region="All Regions"),OR($E277=T1_Income,T1_Income="All Income Groups"))</f>
        <v>1</v>
      </c>
    </row>
    <row r="278" ht="15.0" customHeight="1">
      <c r="A278" s="2" t="s">
        <v>73</v>
      </c>
      <c r="B278" s="2" t="s">
        <v>74</v>
      </c>
      <c r="C278" s="2">
        <v>2013.0</v>
      </c>
      <c r="D278" s="2" t="s">
        <v>41</v>
      </c>
      <c r="E278" s="2" t="s">
        <v>26</v>
      </c>
      <c r="F278" s="2">
        <v>23.86</v>
      </c>
      <c r="G278" s="2">
        <v>36.56</v>
      </c>
      <c r="H278" s="2">
        <v>43.18</v>
      </c>
      <c r="I278" s="2">
        <v>31.91</v>
      </c>
      <c r="J278" s="2">
        <v>33.88</v>
      </c>
      <c r="K278" s="2">
        <v>66.12</v>
      </c>
      <c r="L278" s="2" t="s">
        <v>29</v>
      </c>
      <c r="M278" s="2">
        <v>2872.79</v>
      </c>
      <c r="N278" s="2" t="str">
        <f t="shared" si="1"/>
        <v>High Risk</v>
      </c>
      <c r="O278" s="2" t="b">
        <f>AND(OR($D278=T1_Region,T1_Region="All Regions"),OR($E278=T1_Income,T1_Income="All Income Groups"))</f>
        <v>1</v>
      </c>
    </row>
    <row r="279" ht="15.0" customHeight="1">
      <c r="A279" s="2" t="s">
        <v>73</v>
      </c>
      <c r="B279" s="2" t="s">
        <v>74</v>
      </c>
      <c r="C279" s="2">
        <v>2014.0</v>
      </c>
      <c r="D279" s="2" t="s">
        <v>41</v>
      </c>
      <c r="E279" s="2" t="s">
        <v>26</v>
      </c>
      <c r="F279" s="2">
        <v>21.58</v>
      </c>
      <c r="G279" s="2">
        <v>37.48</v>
      </c>
      <c r="H279" s="2">
        <v>42.34</v>
      </c>
      <c r="I279" s="2">
        <v>28.56</v>
      </c>
      <c r="J279" s="2">
        <v>32.49</v>
      </c>
      <c r="K279" s="2">
        <v>67.51</v>
      </c>
      <c r="L279" s="2" t="s">
        <v>29</v>
      </c>
      <c r="M279" s="2">
        <v>3088.72</v>
      </c>
      <c r="N279" s="2" t="str">
        <f t="shared" si="1"/>
        <v>High Risk</v>
      </c>
      <c r="O279" s="2" t="b">
        <f>AND(OR($D279=T1_Region,T1_Region="All Regions"),OR($E279=T1_Income,T1_Income="All Income Groups"))</f>
        <v>1</v>
      </c>
    </row>
    <row r="280" ht="15.0" customHeight="1">
      <c r="A280" s="2" t="s">
        <v>73</v>
      </c>
      <c r="B280" s="2" t="s">
        <v>74</v>
      </c>
      <c r="C280" s="2">
        <v>2015.0</v>
      </c>
      <c r="D280" s="2" t="s">
        <v>41</v>
      </c>
      <c r="E280" s="2" t="s">
        <v>26</v>
      </c>
      <c r="F280" s="2">
        <v>24.35</v>
      </c>
      <c r="G280" s="2">
        <v>40.43</v>
      </c>
      <c r="H280" s="2">
        <v>43.19</v>
      </c>
      <c r="I280" s="2">
        <v>37.41</v>
      </c>
      <c r="J280" s="2">
        <v>36.34</v>
      </c>
      <c r="K280" s="2">
        <v>63.66</v>
      </c>
      <c r="L280" s="2" t="s">
        <v>29</v>
      </c>
      <c r="M280" s="2">
        <v>2585.73</v>
      </c>
      <c r="N280" s="2" t="str">
        <f t="shared" si="1"/>
        <v>Medium Risk</v>
      </c>
      <c r="O280" s="2" t="b">
        <f>AND(OR($D280=T1_Region,T1_Region="All Regions"),OR($E280=T1_Income,T1_Income="All Income Groups"))</f>
        <v>1</v>
      </c>
    </row>
    <row r="281" ht="15.0" customHeight="1">
      <c r="A281" s="2" t="s">
        <v>73</v>
      </c>
      <c r="B281" s="2" t="s">
        <v>74</v>
      </c>
      <c r="C281" s="2">
        <v>2016.0</v>
      </c>
      <c r="D281" s="2" t="s">
        <v>41</v>
      </c>
      <c r="E281" s="2" t="s">
        <v>26</v>
      </c>
      <c r="F281" s="2">
        <v>25.77</v>
      </c>
      <c r="G281" s="2">
        <v>41.83</v>
      </c>
      <c r="H281" s="2">
        <v>42.01</v>
      </c>
      <c r="I281" s="2">
        <v>36.68</v>
      </c>
      <c r="J281" s="2">
        <v>36.57</v>
      </c>
      <c r="K281" s="2">
        <v>63.43</v>
      </c>
      <c r="L281" s="2" t="s">
        <v>29</v>
      </c>
      <c r="M281" s="2">
        <v>2070.41</v>
      </c>
      <c r="N281" s="2" t="str">
        <f t="shared" si="1"/>
        <v>Medium Risk</v>
      </c>
      <c r="O281" s="2" t="b">
        <f>AND(OR($D281=T1_Region,T1_Region="All Regions"),OR($E281=T1_Income,T1_Income="All Income Groups"))</f>
        <v>1</v>
      </c>
    </row>
    <row r="282" ht="15.0" customHeight="1">
      <c r="A282" s="2" t="s">
        <v>73</v>
      </c>
      <c r="B282" s="2" t="s">
        <v>74</v>
      </c>
      <c r="C282" s="2">
        <v>2017.0</v>
      </c>
      <c r="D282" s="2" t="s">
        <v>41</v>
      </c>
      <c r="E282" s="2" t="s">
        <v>26</v>
      </c>
      <c r="F282" s="2">
        <v>24.69</v>
      </c>
      <c r="G282" s="2">
        <v>43.3</v>
      </c>
      <c r="H282" s="2">
        <v>42.59</v>
      </c>
      <c r="I282" s="2">
        <v>33.27</v>
      </c>
      <c r="J282" s="2">
        <v>35.96</v>
      </c>
      <c r="K282" s="2">
        <v>64.04</v>
      </c>
      <c r="L282" s="2" t="s">
        <v>29</v>
      </c>
      <c r="M282" s="2">
        <v>1876.34</v>
      </c>
      <c r="N282" s="2" t="str">
        <f t="shared" si="1"/>
        <v>Medium Risk</v>
      </c>
      <c r="O282" s="2" t="b">
        <f>AND(OR($D282=T1_Region,T1_Region="All Regions"),OR($E282=T1_Income,T1_Income="All Income Groups"))</f>
        <v>1</v>
      </c>
    </row>
    <row r="283" ht="15.0" customHeight="1">
      <c r="A283" s="2" t="s">
        <v>73</v>
      </c>
      <c r="B283" s="2" t="s">
        <v>74</v>
      </c>
      <c r="C283" s="2">
        <v>2018.0</v>
      </c>
      <c r="D283" s="2" t="s">
        <v>41</v>
      </c>
      <c r="E283" s="2" t="s">
        <v>26</v>
      </c>
      <c r="F283" s="2">
        <v>24.67</v>
      </c>
      <c r="G283" s="2">
        <v>42.96</v>
      </c>
      <c r="H283" s="2">
        <v>41.77</v>
      </c>
      <c r="I283" s="2">
        <v>33.69</v>
      </c>
      <c r="J283" s="2">
        <v>35.77</v>
      </c>
      <c r="K283" s="2">
        <v>64.23</v>
      </c>
      <c r="L283" s="2" t="s">
        <v>29</v>
      </c>
      <c r="M283" s="2">
        <v>2057.88</v>
      </c>
      <c r="N283" s="2" t="str">
        <f t="shared" si="1"/>
        <v>Medium Risk</v>
      </c>
      <c r="O283" s="2" t="b">
        <f>AND(OR($D283=T1_Region,T1_Region="All Regions"),OR($E283=T1_Income,T1_Income="All Income Groups"))</f>
        <v>1</v>
      </c>
    </row>
    <row r="284" ht="15.0" customHeight="1">
      <c r="A284" s="2" t="s">
        <v>73</v>
      </c>
      <c r="B284" s="2" t="s">
        <v>74</v>
      </c>
      <c r="C284" s="2">
        <v>2019.0</v>
      </c>
      <c r="D284" s="2" t="s">
        <v>41</v>
      </c>
      <c r="E284" s="2" t="s">
        <v>26</v>
      </c>
      <c r="F284" s="2">
        <v>25.07</v>
      </c>
      <c r="G284" s="2">
        <v>42.55</v>
      </c>
      <c r="H284" s="2">
        <v>41.23</v>
      </c>
      <c r="I284" s="2">
        <v>32.19</v>
      </c>
      <c r="J284" s="2">
        <v>35.26</v>
      </c>
      <c r="K284" s="2">
        <v>64.74</v>
      </c>
      <c r="L284" s="2" t="s">
        <v>29</v>
      </c>
      <c r="M284" s="2">
        <v>3189.81</v>
      </c>
      <c r="N284" s="2" t="str">
        <f t="shared" si="1"/>
        <v>Medium Risk</v>
      </c>
      <c r="O284" s="2" t="b">
        <f>AND(OR($D284=T1_Region,T1_Region="All Regions"),OR($E284=T1_Income,T1_Income="All Income Groups"))</f>
        <v>1</v>
      </c>
    </row>
    <row r="285" ht="15.0" customHeight="1">
      <c r="A285" s="2" t="s">
        <v>73</v>
      </c>
      <c r="B285" s="2" t="s">
        <v>74</v>
      </c>
      <c r="C285" s="2">
        <v>2020.0</v>
      </c>
      <c r="D285" s="2" t="s">
        <v>41</v>
      </c>
      <c r="E285" s="2" t="s">
        <v>26</v>
      </c>
      <c r="F285" s="2">
        <v>25.23</v>
      </c>
      <c r="G285" s="2">
        <v>42.49</v>
      </c>
      <c r="H285" s="2">
        <v>40.87</v>
      </c>
      <c r="I285" s="2">
        <v>31.58</v>
      </c>
      <c r="J285" s="2">
        <v>35.04</v>
      </c>
      <c r="K285" s="2">
        <v>64.96</v>
      </c>
      <c r="L285" s="2" t="s">
        <v>29</v>
      </c>
      <c r="M285" s="2">
        <v>2797.18</v>
      </c>
      <c r="N285" s="2" t="str">
        <f t="shared" si="1"/>
        <v>Medium Risk</v>
      </c>
      <c r="O285" s="2" t="b">
        <f>AND(OR($D285=T1_Region,T1_Region="All Regions"),OR($E285=T1_Income,T1_Income="All Income Groups"))</f>
        <v>1</v>
      </c>
    </row>
    <row r="286" ht="15.0" customHeight="1">
      <c r="A286" s="2" t="s">
        <v>73</v>
      </c>
      <c r="B286" s="2" t="s">
        <v>74</v>
      </c>
      <c r="C286" s="2">
        <v>2021.0</v>
      </c>
      <c r="D286" s="2" t="s">
        <v>41</v>
      </c>
      <c r="E286" s="2" t="s">
        <v>26</v>
      </c>
      <c r="F286" s="2">
        <v>23.75</v>
      </c>
      <c r="G286" s="2">
        <v>41.02</v>
      </c>
      <c r="H286" s="2">
        <v>41.1</v>
      </c>
      <c r="I286" s="2">
        <v>31.5</v>
      </c>
      <c r="J286" s="2">
        <v>34.34</v>
      </c>
      <c r="K286" s="2">
        <v>65.66</v>
      </c>
      <c r="L286" s="2" t="s">
        <v>29</v>
      </c>
      <c r="M286" s="2">
        <v>2787.49</v>
      </c>
      <c r="N286" s="2" t="str">
        <f t="shared" si="1"/>
        <v>High Risk</v>
      </c>
      <c r="O286" s="2" t="b">
        <f>AND(OR($D286=T1_Region,T1_Region="All Regions"),OR($E286=T1_Income,T1_Income="All Income Groups"))</f>
        <v>1</v>
      </c>
    </row>
    <row r="287" ht="15.0" customHeight="1">
      <c r="A287" s="2" t="s">
        <v>73</v>
      </c>
      <c r="B287" s="2" t="s">
        <v>74</v>
      </c>
      <c r="C287" s="2">
        <v>2022.0</v>
      </c>
      <c r="D287" s="2" t="s">
        <v>41</v>
      </c>
      <c r="E287" s="2" t="s">
        <v>26</v>
      </c>
      <c r="F287" s="2">
        <v>23.06</v>
      </c>
      <c r="G287" s="2">
        <v>39.76</v>
      </c>
      <c r="H287" s="2">
        <v>39.15</v>
      </c>
      <c r="I287" s="2">
        <v>32.54</v>
      </c>
      <c r="J287" s="2">
        <v>33.63</v>
      </c>
      <c r="K287" s="2">
        <v>66.37</v>
      </c>
      <c r="L287" s="2" t="s">
        <v>29</v>
      </c>
      <c r="M287" s="2">
        <v>2899.16</v>
      </c>
      <c r="N287" s="2" t="str">
        <f t="shared" si="1"/>
        <v>High Risk</v>
      </c>
      <c r="O287" s="2" t="b">
        <f>AND(OR($D287=T1_Region,T1_Region="All Regions"),OR($E287=T1_Income,T1_Income="All Income Groups"))</f>
        <v>1</v>
      </c>
    </row>
    <row r="288" ht="15.0" customHeight="1">
      <c r="A288" s="2" t="s">
        <v>73</v>
      </c>
      <c r="B288" s="2" t="s">
        <v>74</v>
      </c>
      <c r="C288" s="2">
        <v>2023.0</v>
      </c>
      <c r="D288" s="2" t="s">
        <v>41</v>
      </c>
      <c r="E288" s="2" t="s">
        <v>26</v>
      </c>
      <c r="F288" s="2">
        <v>25.61</v>
      </c>
      <c r="G288" s="2">
        <v>40.88</v>
      </c>
      <c r="H288" s="2">
        <v>41.81</v>
      </c>
      <c r="I288" s="2">
        <v>32.48</v>
      </c>
      <c r="J288" s="2">
        <v>35.2</v>
      </c>
      <c r="K288" s="2">
        <v>64.8</v>
      </c>
      <c r="L288" s="2" t="s">
        <v>29</v>
      </c>
      <c r="M288" s="2">
        <v>2138.76</v>
      </c>
      <c r="N288" s="2" t="str">
        <f t="shared" si="1"/>
        <v>Medium Risk</v>
      </c>
      <c r="O288" s="2" t="b">
        <f>AND(OR($D288=T1_Region,T1_Region="All Regions"),OR($E288=T1_Income,T1_Income="All Income Groups"))</f>
        <v>1</v>
      </c>
    </row>
    <row r="289" ht="15.0" customHeight="1">
      <c r="A289" s="2" t="s">
        <v>73</v>
      </c>
      <c r="B289" s="2" t="s">
        <v>74</v>
      </c>
      <c r="C289" s="2">
        <v>2024.0</v>
      </c>
      <c r="D289" s="2" t="s">
        <v>41</v>
      </c>
      <c r="E289" s="2" t="s">
        <v>26</v>
      </c>
      <c r="F289" s="2">
        <v>25.29</v>
      </c>
      <c r="G289" s="2">
        <v>39.63</v>
      </c>
      <c r="H289" s="2">
        <v>44.87</v>
      </c>
      <c r="I289" s="2">
        <v>31.69</v>
      </c>
      <c r="J289" s="2">
        <v>35.37</v>
      </c>
      <c r="K289" s="2">
        <v>64.63</v>
      </c>
      <c r="L289" s="2" t="s">
        <v>29</v>
      </c>
      <c r="M289" s="2">
        <v>1084.16</v>
      </c>
      <c r="N289" s="2" t="str">
        <f t="shared" si="1"/>
        <v>Medium Risk</v>
      </c>
      <c r="O289" s="2" t="b">
        <f>AND(OR($D289=T1_Region,T1_Region="All Regions"),OR($E289=T1_Income,T1_Income="All Income Groups"))</f>
        <v>1</v>
      </c>
    </row>
    <row r="290" ht="15.0" customHeight="1">
      <c r="A290" s="2" t="s">
        <v>75</v>
      </c>
      <c r="B290" s="2" t="s">
        <v>76</v>
      </c>
      <c r="C290" s="2">
        <v>2013.0</v>
      </c>
      <c r="D290" s="2" t="s">
        <v>25</v>
      </c>
      <c r="E290" s="2" t="s">
        <v>26</v>
      </c>
      <c r="F290" s="2">
        <v>25.0</v>
      </c>
      <c r="G290" s="2">
        <v>38.91</v>
      </c>
      <c r="H290" s="2">
        <v>42.15</v>
      </c>
      <c r="I290" s="2">
        <v>20.32</v>
      </c>
      <c r="J290" s="2">
        <v>31.6</v>
      </c>
      <c r="K290" s="2">
        <v>68.4</v>
      </c>
      <c r="L290" s="2" t="s">
        <v>29</v>
      </c>
      <c r="M290" s="2">
        <v>1225.43</v>
      </c>
      <c r="N290" s="2" t="str">
        <f t="shared" si="1"/>
        <v>High Risk</v>
      </c>
      <c r="O290" s="2" t="b">
        <f>AND(OR($D290=T1_Region,T1_Region="All Regions"),OR($E290=T1_Income,T1_Income="All Income Groups"))</f>
        <v>1</v>
      </c>
    </row>
    <row r="291" ht="15.0" customHeight="1">
      <c r="A291" s="2" t="s">
        <v>75</v>
      </c>
      <c r="B291" s="2" t="s">
        <v>76</v>
      </c>
      <c r="C291" s="2">
        <v>2014.0</v>
      </c>
      <c r="D291" s="2" t="s">
        <v>25</v>
      </c>
      <c r="E291" s="2" t="s">
        <v>26</v>
      </c>
      <c r="F291" s="2">
        <v>27.52</v>
      </c>
      <c r="G291" s="2">
        <v>40.26</v>
      </c>
      <c r="H291" s="2">
        <v>43.06</v>
      </c>
      <c r="I291" s="2">
        <v>23.84</v>
      </c>
      <c r="J291" s="2">
        <v>33.67</v>
      </c>
      <c r="K291" s="2">
        <v>66.33</v>
      </c>
      <c r="L291" s="2" t="s">
        <v>29</v>
      </c>
      <c r="M291" s="2">
        <v>1266.61</v>
      </c>
      <c r="N291" s="2" t="str">
        <f t="shared" si="1"/>
        <v>High Risk</v>
      </c>
      <c r="O291" s="2" t="b">
        <f>AND(OR($D291=T1_Region,T1_Region="All Regions"),OR($E291=T1_Income,T1_Income="All Income Groups"))</f>
        <v>1</v>
      </c>
    </row>
    <row r="292" ht="15.0" customHeight="1">
      <c r="A292" s="2" t="s">
        <v>75</v>
      </c>
      <c r="B292" s="2" t="s">
        <v>76</v>
      </c>
      <c r="C292" s="2">
        <v>2015.0</v>
      </c>
      <c r="D292" s="2" t="s">
        <v>25</v>
      </c>
      <c r="E292" s="2" t="s">
        <v>26</v>
      </c>
      <c r="F292" s="2">
        <v>28.0</v>
      </c>
      <c r="G292" s="2">
        <v>41.22</v>
      </c>
      <c r="H292" s="2">
        <v>44.04</v>
      </c>
      <c r="I292" s="2">
        <v>24.39</v>
      </c>
      <c r="J292" s="2">
        <v>34.41</v>
      </c>
      <c r="K292" s="2">
        <v>65.59</v>
      </c>
      <c r="L292" s="2" t="s">
        <v>29</v>
      </c>
      <c r="M292" s="2">
        <v>1380.47</v>
      </c>
      <c r="N292" s="2" t="str">
        <f t="shared" si="1"/>
        <v>High Risk</v>
      </c>
      <c r="O292" s="2" t="b">
        <f>AND(OR($D292=T1_Region,T1_Region="All Regions"),OR($E292=T1_Income,T1_Income="All Income Groups"))</f>
        <v>1</v>
      </c>
    </row>
    <row r="293" ht="15.0" customHeight="1">
      <c r="A293" s="2" t="s">
        <v>75</v>
      </c>
      <c r="B293" s="2" t="s">
        <v>76</v>
      </c>
      <c r="C293" s="2">
        <v>2016.0</v>
      </c>
      <c r="D293" s="2" t="s">
        <v>25</v>
      </c>
      <c r="E293" s="2" t="s">
        <v>26</v>
      </c>
      <c r="F293" s="2">
        <v>28.16</v>
      </c>
      <c r="G293" s="2">
        <v>41.25</v>
      </c>
      <c r="H293" s="2">
        <v>44.46</v>
      </c>
      <c r="I293" s="2">
        <v>26.01</v>
      </c>
      <c r="J293" s="2">
        <v>34.97</v>
      </c>
      <c r="K293" s="2">
        <v>65.03</v>
      </c>
      <c r="L293" s="2" t="s">
        <v>29</v>
      </c>
      <c r="M293" s="2">
        <v>1424.69</v>
      </c>
      <c r="N293" s="2" t="str">
        <f t="shared" si="1"/>
        <v>High Risk</v>
      </c>
      <c r="O293" s="2" t="b">
        <f>AND(OR($D293=T1_Region,T1_Region="All Regions"),OR($E293=T1_Income,T1_Income="All Income Groups"))</f>
        <v>1</v>
      </c>
    </row>
    <row r="294" ht="15.0" customHeight="1">
      <c r="A294" s="2" t="s">
        <v>75</v>
      </c>
      <c r="B294" s="2" t="s">
        <v>76</v>
      </c>
      <c r="C294" s="2">
        <v>2017.0</v>
      </c>
      <c r="D294" s="2" t="s">
        <v>25</v>
      </c>
      <c r="E294" s="2" t="s">
        <v>26</v>
      </c>
      <c r="F294" s="2">
        <v>28.93</v>
      </c>
      <c r="G294" s="2">
        <v>42.07</v>
      </c>
      <c r="H294" s="2">
        <v>44.39</v>
      </c>
      <c r="I294" s="2">
        <v>28.0</v>
      </c>
      <c r="J294" s="2">
        <v>35.85</v>
      </c>
      <c r="K294" s="2">
        <v>64.15</v>
      </c>
      <c r="L294" s="2" t="s">
        <v>29</v>
      </c>
      <c r="M294" s="2">
        <v>1519.23</v>
      </c>
      <c r="N294" s="2" t="str">
        <f t="shared" si="1"/>
        <v>Medium Risk</v>
      </c>
      <c r="O294" s="2" t="b">
        <f>AND(OR($D294=T1_Region,T1_Region="All Regions"),OR($E294=T1_Income,T1_Income="All Income Groups"))</f>
        <v>1</v>
      </c>
    </row>
    <row r="295" ht="15.0" customHeight="1">
      <c r="A295" s="2" t="s">
        <v>75</v>
      </c>
      <c r="B295" s="2" t="s">
        <v>76</v>
      </c>
      <c r="C295" s="2">
        <v>2018.0</v>
      </c>
      <c r="D295" s="2" t="s">
        <v>25</v>
      </c>
      <c r="E295" s="2" t="s">
        <v>26</v>
      </c>
      <c r="F295" s="2">
        <v>28.34</v>
      </c>
      <c r="G295" s="2">
        <v>42.51</v>
      </c>
      <c r="H295" s="2">
        <v>44.42</v>
      </c>
      <c r="I295" s="2">
        <v>31.97</v>
      </c>
      <c r="J295" s="2">
        <v>36.81</v>
      </c>
      <c r="K295" s="2">
        <v>63.19</v>
      </c>
      <c r="L295" s="2" t="s">
        <v>29</v>
      </c>
      <c r="M295" s="2">
        <v>1569.34</v>
      </c>
      <c r="N295" s="2" t="str">
        <f t="shared" si="1"/>
        <v>Medium Risk</v>
      </c>
      <c r="O295" s="2" t="b">
        <f>AND(OR($D295=T1_Region,T1_Region="All Regions"),OR($E295=T1_Income,T1_Income="All Income Groups"))</f>
        <v>1</v>
      </c>
    </row>
    <row r="296" ht="15.0" customHeight="1">
      <c r="A296" s="2" t="s">
        <v>75</v>
      </c>
      <c r="B296" s="2" t="s">
        <v>76</v>
      </c>
      <c r="C296" s="2">
        <v>2019.0</v>
      </c>
      <c r="D296" s="2" t="s">
        <v>25</v>
      </c>
      <c r="E296" s="2" t="s">
        <v>26</v>
      </c>
      <c r="F296" s="2">
        <v>28.19</v>
      </c>
      <c r="G296" s="2">
        <v>42.99</v>
      </c>
      <c r="H296" s="2">
        <v>45.08</v>
      </c>
      <c r="I296" s="2">
        <v>32.94</v>
      </c>
      <c r="J296" s="2">
        <v>37.3</v>
      </c>
      <c r="K296" s="2">
        <v>62.7</v>
      </c>
      <c r="L296" s="2" t="s">
        <v>29</v>
      </c>
      <c r="M296" s="2">
        <v>1390.42</v>
      </c>
      <c r="N296" s="2" t="str">
        <f t="shared" si="1"/>
        <v>Medium Risk</v>
      </c>
      <c r="O296" s="2" t="b">
        <f>AND(OR($D296=T1_Region,T1_Region="All Regions"),OR($E296=T1_Income,T1_Income="All Income Groups"))</f>
        <v>1</v>
      </c>
    </row>
    <row r="297" ht="15.0" customHeight="1">
      <c r="A297" s="2" t="s">
        <v>75</v>
      </c>
      <c r="B297" s="2" t="s">
        <v>76</v>
      </c>
      <c r="C297" s="2">
        <v>2020.0</v>
      </c>
      <c r="D297" s="2" t="s">
        <v>25</v>
      </c>
      <c r="E297" s="2" t="s">
        <v>26</v>
      </c>
      <c r="F297" s="2">
        <v>28.89</v>
      </c>
      <c r="G297" s="2">
        <v>42.97</v>
      </c>
      <c r="H297" s="2">
        <v>43.81</v>
      </c>
      <c r="I297" s="2">
        <v>38.77</v>
      </c>
      <c r="J297" s="2">
        <v>38.61</v>
      </c>
      <c r="K297" s="2">
        <v>61.39</v>
      </c>
      <c r="L297" s="2" t="s">
        <v>29</v>
      </c>
      <c r="M297" s="2">
        <v>1278.4</v>
      </c>
      <c r="N297" s="2" t="str">
        <f t="shared" si="1"/>
        <v>Medium Risk</v>
      </c>
      <c r="O297" s="2" t="b">
        <f>AND(OR($D297=T1_Region,T1_Region="All Regions"),OR($E297=T1_Income,T1_Income="All Income Groups"))</f>
        <v>1</v>
      </c>
    </row>
    <row r="298" ht="15.0" customHeight="1">
      <c r="A298" s="2" t="s">
        <v>75</v>
      </c>
      <c r="B298" s="2" t="s">
        <v>76</v>
      </c>
      <c r="C298" s="2">
        <v>2021.0</v>
      </c>
      <c r="D298" s="2" t="s">
        <v>25</v>
      </c>
      <c r="E298" s="2" t="s">
        <v>26</v>
      </c>
      <c r="F298" s="2">
        <v>29.51</v>
      </c>
      <c r="G298" s="2">
        <v>42.8</v>
      </c>
      <c r="H298" s="2">
        <v>44.54</v>
      </c>
      <c r="I298" s="2">
        <v>37.72</v>
      </c>
      <c r="J298" s="2">
        <v>38.64</v>
      </c>
      <c r="K298" s="2">
        <v>61.36</v>
      </c>
      <c r="L298" s="2" t="s">
        <v>29</v>
      </c>
      <c r="M298" s="2">
        <v>1455.32</v>
      </c>
      <c r="N298" s="2" t="str">
        <f t="shared" si="1"/>
        <v>Medium Risk</v>
      </c>
      <c r="O298" s="2" t="b">
        <f>AND(OR($D298=T1_Region,T1_Region="All Regions"),OR($E298=T1_Income,T1_Income="All Income Groups"))</f>
        <v>1</v>
      </c>
    </row>
    <row r="299" ht="15.0" customHeight="1">
      <c r="A299" s="2" t="s">
        <v>75</v>
      </c>
      <c r="B299" s="2" t="s">
        <v>76</v>
      </c>
      <c r="C299" s="2">
        <v>2022.0</v>
      </c>
      <c r="D299" s="2" t="s">
        <v>25</v>
      </c>
      <c r="E299" s="2" t="s">
        <v>26</v>
      </c>
      <c r="F299" s="2">
        <v>28.71</v>
      </c>
      <c r="G299" s="2">
        <v>41.29</v>
      </c>
      <c r="H299" s="2">
        <v>42.79</v>
      </c>
      <c r="I299" s="2">
        <v>35.91</v>
      </c>
      <c r="J299" s="2">
        <v>37.17</v>
      </c>
      <c r="K299" s="2">
        <v>62.83</v>
      </c>
      <c r="L299" s="2" t="s">
        <v>29</v>
      </c>
      <c r="M299" s="2">
        <v>1538.32</v>
      </c>
      <c r="N299" s="2" t="str">
        <f t="shared" si="1"/>
        <v>Medium Risk</v>
      </c>
      <c r="O299" s="2" t="b">
        <f>AND(OR($D299=T1_Region,T1_Region="All Regions"),OR($E299=T1_Income,T1_Income="All Income Groups"))</f>
        <v>1</v>
      </c>
    </row>
    <row r="300" ht="15.0" customHeight="1">
      <c r="A300" s="2" t="s">
        <v>75</v>
      </c>
      <c r="B300" s="2" t="s">
        <v>76</v>
      </c>
      <c r="C300" s="2">
        <v>2023.0</v>
      </c>
      <c r="D300" s="2" t="s">
        <v>25</v>
      </c>
      <c r="E300" s="2" t="s">
        <v>26</v>
      </c>
      <c r="F300" s="2">
        <v>26.68</v>
      </c>
      <c r="G300" s="2">
        <v>39.68</v>
      </c>
      <c r="H300" s="2">
        <v>41.9</v>
      </c>
      <c r="I300" s="2">
        <v>32.75</v>
      </c>
      <c r="J300" s="2">
        <v>35.25</v>
      </c>
      <c r="K300" s="2">
        <v>64.75</v>
      </c>
      <c r="L300" s="2" t="s">
        <v>29</v>
      </c>
      <c r="M300" s="2">
        <v>1360.32</v>
      </c>
      <c r="N300" s="2" t="str">
        <f t="shared" si="1"/>
        <v>Medium Risk</v>
      </c>
      <c r="O300" s="2" t="b">
        <f>AND(OR($D300=T1_Region,T1_Region="All Regions"),OR($E300=T1_Income,T1_Income="All Income Groups"))</f>
        <v>1</v>
      </c>
    </row>
    <row r="301" ht="15.0" customHeight="1">
      <c r="A301" s="2" t="s">
        <v>75</v>
      </c>
      <c r="B301" s="2" t="s">
        <v>76</v>
      </c>
      <c r="C301" s="2">
        <v>2024.0</v>
      </c>
      <c r="D301" s="2" t="s">
        <v>25</v>
      </c>
      <c r="E301" s="2" t="s">
        <v>26</v>
      </c>
      <c r="F301" s="2">
        <v>26.28</v>
      </c>
      <c r="G301" s="2">
        <v>39.46</v>
      </c>
      <c r="H301" s="2">
        <v>42.36</v>
      </c>
      <c r="I301" s="2">
        <v>30.65</v>
      </c>
      <c r="J301" s="2">
        <v>34.69</v>
      </c>
      <c r="K301" s="2">
        <v>65.31</v>
      </c>
      <c r="L301" s="2" t="s">
        <v>29</v>
      </c>
      <c r="M301" s="2">
        <v>1479.48</v>
      </c>
      <c r="N301" s="2" t="str">
        <f t="shared" si="1"/>
        <v>High Risk</v>
      </c>
      <c r="O301" s="2" t="b">
        <f>AND(OR($D301=T1_Region,T1_Region="All Regions"),OR($E301=T1_Income,T1_Income="All Income Groups"))</f>
        <v>1</v>
      </c>
    </row>
    <row r="302" ht="15.0" customHeight="1">
      <c r="A302" s="2" t="s">
        <v>77</v>
      </c>
      <c r="B302" s="2" t="s">
        <v>78</v>
      </c>
      <c r="C302" s="2">
        <v>2013.0</v>
      </c>
      <c r="D302" s="2" t="s">
        <v>19</v>
      </c>
      <c r="E302" s="2" t="s">
        <v>26</v>
      </c>
      <c r="F302" s="2">
        <v>37.77</v>
      </c>
      <c r="G302" s="2">
        <v>48.88</v>
      </c>
      <c r="H302" s="2">
        <v>55.36</v>
      </c>
      <c r="I302" s="2">
        <v>47.2</v>
      </c>
      <c r="J302" s="2">
        <v>47.3</v>
      </c>
      <c r="K302" s="2">
        <v>52.7</v>
      </c>
      <c r="L302" s="2" t="s">
        <v>29</v>
      </c>
      <c r="M302" s="2">
        <v>2781.28</v>
      </c>
      <c r="N302" s="2" t="str">
        <f t="shared" si="1"/>
        <v>Medium Risk</v>
      </c>
      <c r="O302" s="2" t="b">
        <f>AND(OR($D302=T1_Region,T1_Region="All Regions"),OR($E302=T1_Income,T1_Income="All Income Groups"))</f>
        <v>1</v>
      </c>
    </row>
    <row r="303" ht="15.0" customHeight="1">
      <c r="A303" s="2" t="s">
        <v>77</v>
      </c>
      <c r="B303" s="2" t="s">
        <v>78</v>
      </c>
      <c r="C303" s="2">
        <v>2014.0</v>
      </c>
      <c r="D303" s="2" t="s">
        <v>19</v>
      </c>
      <c r="E303" s="2" t="s">
        <v>26</v>
      </c>
      <c r="F303" s="2">
        <v>36.06</v>
      </c>
      <c r="G303" s="2">
        <v>50.75</v>
      </c>
      <c r="H303" s="2">
        <v>55.8</v>
      </c>
      <c r="I303" s="2">
        <v>52.13</v>
      </c>
      <c r="J303" s="2">
        <v>48.69</v>
      </c>
      <c r="K303" s="2">
        <v>51.31</v>
      </c>
      <c r="L303" s="2" t="s">
        <v>29</v>
      </c>
      <c r="M303" s="2">
        <v>2866.84</v>
      </c>
      <c r="N303" s="2" t="str">
        <f t="shared" si="1"/>
        <v>Medium Risk</v>
      </c>
      <c r="O303" s="2" t="b">
        <f>AND(OR($D303=T1_Region,T1_Region="All Regions"),OR($E303=T1_Income,T1_Income="All Income Groups"))</f>
        <v>1</v>
      </c>
    </row>
    <row r="304" ht="15.0" customHeight="1">
      <c r="A304" s="2" t="s">
        <v>77</v>
      </c>
      <c r="B304" s="2" t="s">
        <v>78</v>
      </c>
      <c r="C304" s="2">
        <v>2015.0</v>
      </c>
      <c r="D304" s="2" t="s">
        <v>19</v>
      </c>
      <c r="E304" s="2" t="s">
        <v>26</v>
      </c>
      <c r="F304" s="2">
        <v>35.9</v>
      </c>
      <c r="G304" s="2">
        <v>49.56</v>
      </c>
      <c r="H304" s="2">
        <v>56.25</v>
      </c>
      <c r="I304" s="2">
        <v>50.06</v>
      </c>
      <c r="J304" s="2">
        <v>47.94</v>
      </c>
      <c r="K304" s="2">
        <v>52.06</v>
      </c>
      <c r="L304" s="2" t="s">
        <v>29</v>
      </c>
      <c r="M304" s="2">
        <v>2909.86</v>
      </c>
      <c r="N304" s="2" t="str">
        <f t="shared" si="1"/>
        <v>Medium Risk</v>
      </c>
      <c r="O304" s="2" t="b">
        <f>AND(OR($D304=T1_Region,T1_Region="All Regions"),OR($E304=T1_Income,T1_Income="All Income Groups"))</f>
        <v>1</v>
      </c>
    </row>
    <row r="305" ht="15.0" customHeight="1">
      <c r="A305" s="2" t="s">
        <v>77</v>
      </c>
      <c r="B305" s="2" t="s">
        <v>78</v>
      </c>
      <c r="C305" s="2">
        <v>2016.0</v>
      </c>
      <c r="D305" s="2" t="s">
        <v>19</v>
      </c>
      <c r="E305" s="2" t="s">
        <v>26</v>
      </c>
      <c r="F305" s="2">
        <v>35.44</v>
      </c>
      <c r="G305" s="2">
        <v>48.82</v>
      </c>
      <c r="H305" s="2">
        <v>56.85</v>
      </c>
      <c r="I305" s="2">
        <v>41.34</v>
      </c>
      <c r="J305" s="2">
        <v>45.61</v>
      </c>
      <c r="K305" s="2">
        <v>54.39</v>
      </c>
      <c r="L305" s="2" t="s">
        <v>29</v>
      </c>
      <c r="M305" s="2">
        <v>2985.2</v>
      </c>
      <c r="N305" s="2" t="str">
        <f t="shared" si="1"/>
        <v>Medium Risk</v>
      </c>
      <c r="O305" s="2" t="b">
        <f>AND(OR($D305=T1_Region,T1_Region="All Regions"),OR($E305=T1_Income,T1_Income="All Income Groups"))</f>
        <v>1</v>
      </c>
    </row>
    <row r="306" ht="15.0" customHeight="1">
      <c r="A306" s="2" t="s">
        <v>77</v>
      </c>
      <c r="B306" s="2" t="s">
        <v>78</v>
      </c>
      <c r="C306" s="2">
        <v>2017.0</v>
      </c>
      <c r="D306" s="2" t="s">
        <v>19</v>
      </c>
      <c r="E306" s="2" t="s">
        <v>26</v>
      </c>
      <c r="F306" s="2">
        <v>34.96</v>
      </c>
      <c r="G306" s="2">
        <v>46.79</v>
      </c>
      <c r="H306" s="2">
        <v>57.02</v>
      </c>
      <c r="I306" s="2">
        <v>44.04</v>
      </c>
      <c r="J306" s="2">
        <v>45.7</v>
      </c>
      <c r="K306" s="2">
        <v>54.3</v>
      </c>
      <c r="L306" s="2" t="s">
        <v>29</v>
      </c>
      <c r="M306" s="2">
        <v>3038.12</v>
      </c>
      <c r="N306" s="2" t="str">
        <f t="shared" si="1"/>
        <v>Medium Risk</v>
      </c>
      <c r="O306" s="2" t="b">
        <f>AND(OR($D306=T1_Region,T1_Region="All Regions"),OR($E306=T1_Income,T1_Income="All Income Groups"))</f>
        <v>1</v>
      </c>
    </row>
    <row r="307" ht="15.0" customHeight="1">
      <c r="A307" s="2" t="s">
        <v>77</v>
      </c>
      <c r="B307" s="2" t="s">
        <v>78</v>
      </c>
      <c r="C307" s="2">
        <v>2018.0</v>
      </c>
      <c r="D307" s="2" t="s">
        <v>19</v>
      </c>
      <c r="E307" s="2" t="s">
        <v>26</v>
      </c>
      <c r="F307" s="2">
        <v>34.92</v>
      </c>
      <c r="G307" s="2">
        <v>45.95</v>
      </c>
      <c r="H307" s="2">
        <v>54.78</v>
      </c>
      <c r="I307" s="2">
        <v>47.67</v>
      </c>
      <c r="J307" s="2">
        <v>45.83</v>
      </c>
      <c r="K307" s="2">
        <v>54.17</v>
      </c>
      <c r="L307" s="2" t="s">
        <v>29</v>
      </c>
      <c r="M307" s="2">
        <v>3168.51</v>
      </c>
      <c r="N307" s="2" t="str">
        <f t="shared" si="1"/>
        <v>Medium Risk</v>
      </c>
      <c r="O307" s="2" t="b">
        <f>AND(OR($D307=T1_Region,T1_Region="All Regions"),OR($E307=T1_Income,T1_Income="All Income Groups"))</f>
        <v>1</v>
      </c>
    </row>
    <row r="308" ht="15.0" customHeight="1">
      <c r="A308" s="2" t="s">
        <v>77</v>
      </c>
      <c r="B308" s="2" t="s">
        <v>78</v>
      </c>
      <c r="C308" s="2">
        <v>2019.0</v>
      </c>
      <c r="D308" s="2" t="s">
        <v>19</v>
      </c>
      <c r="E308" s="2" t="s">
        <v>26</v>
      </c>
      <c r="F308" s="2">
        <v>35.48</v>
      </c>
      <c r="G308" s="2">
        <v>45.83</v>
      </c>
      <c r="H308" s="2">
        <v>55.79</v>
      </c>
      <c r="I308" s="2">
        <v>48.65</v>
      </c>
      <c r="J308" s="2">
        <v>46.44</v>
      </c>
      <c r="K308" s="2">
        <v>53.56</v>
      </c>
      <c r="L308" s="2" t="s">
        <v>29</v>
      </c>
      <c r="M308" s="2">
        <v>3400.79</v>
      </c>
      <c r="N308" s="2" t="str">
        <f t="shared" si="1"/>
        <v>Medium Risk</v>
      </c>
      <c r="O308" s="2" t="b">
        <f>AND(OR($D308=T1_Region,T1_Region="All Regions"),OR($E308=T1_Income,T1_Income="All Income Groups"))</f>
        <v>1</v>
      </c>
    </row>
    <row r="309" ht="15.0" customHeight="1">
      <c r="A309" s="2" t="s">
        <v>77</v>
      </c>
      <c r="B309" s="2" t="s">
        <v>78</v>
      </c>
      <c r="C309" s="2">
        <v>2020.0</v>
      </c>
      <c r="D309" s="2" t="s">
        <v>19</v>
      </c>
      <c r="E309" s="2" t="s">
        <v>26</v>
      </c>
      <c r="F309" s="2">
        <v>36.94</v>
      </c>
      <c r="G309" s="2">
        <v>46.07</v>
      </c>
      <c r="H309" s="2">
        <v>55.09</v>
      </c>
      <c r="I309" s="2">
        <v>49.81</v>
      </c>
      <c r="J309" s="2">
        <v>46.98</v>
      </c>
      <c r="K309" s="2">
        <v>53.02</v>
      </c>
      <c r="L309" s="2" t="s">
        <v>29</v>
      </c>
      <c r="M309" s="2">
        <v>3227.58</v>
      </c>
      <c r="N309" s="2" t="str">
        <f t="shared" si="1"/>
        <v>Medium Risk</v>
      </c>
      <c r="O309" s="2" t="b">
        <f>AND(OR($D309=T1_Region,T1_Region="All Regions"),OR($E309=T1_Income,T1_Income="All Income Groups"))</f>
        <v>1</v>
      </c>
    </row>
    <row r="310" ht="15.0" customHeight="1">
      <c r="A310" s="2" t="s">
        <v>77</v>
      </c>
      <c r="B310" s="2" t="s">
        <v>78</v>
      </c>
      <c r="C310" s="2">
        <v>2021.0</v>
      </c>
      <c r="D310" s="2" t="s">
        <v>19</v>
      </c>
      <c r="E310" s="2" t="s">
        <v>26</v>
      </c>
      <c r="F310" s="2">
        <v>36.23</v>
      </c>
      <c r="G310" s="2">
        <v>45.37</v>
      </c>
      <c r="H310" s="2">
        <v>55.1</v>
      </c>
      <c r="I310" s="2">
        <v>47.21</v>
      </c>
      <c r="J310" s="2">
        <v>45.98</v>
      </c>
      <c r="K310" s="2">
        <v>54.02</v>
      </c>
      <c r="L310" s="2" t="s">
        <v>29</v>
      </c>
      <c r="M310" s="2">
        <v>3484.39</v>
      </c>
      <c r="N310" s="2" t="str">
        <f t="shared" si="1"/>
        <v>Medium Risk</v>
      </c>
      <c r="O310" s="2" t="b">
        <f>AND(OR($D310=T1_Region,T1_Region="All Regions"),OR($E310=T1_Income,T1_Income="All Income Groups"))</f>
        <v>1</v>
      </c>
    </row>
    <row r="311" ht="15.0" customHeight="1">
      <c r="A311" s="2" t="s">
        <v>77</v>
      </c>
      <c r="B311" s="2" t="s">
        <v>78</v>
      </c>
      <c r="C311" s="2">
        <v>2022.0</v>
      </c>
      <c r="D311" s="2" t="s">
        <v>19</v>
      </c>
      <c r="E311" s="2" t="s">
        <v>26</v>
      </c>
      <c r="F311" s="2">
        <v>36.17</v>
      </c>
      <c r="G311" s="2">
        <v>46.08</v>
      </c>
      <c r="H311" s="2">
        <v>54.94</v>
      </c>
      <c r="I311" s="2">
        <v>50.54</v>
      </c>
      <c r="J311" s="2">
        <v>46.93</v>
      </c>
      <c r="K311" s="2">
        <v>53.07</v>
      </c>
      <c r="L311" s="2" t="s">
        <v>29</v>
      </c>
      <c r="M311" s="2">
        <v>3548.07</v>
      </c>
      <c r="N311" s="2" t="str">
        <f t="shared" si="1"/>
        <v>Medium Risk</v>
      </c>
      <c r="O311" s="2" t="b">
        <f>AND(OR($D311=T1_Region,T1_Region="All Regions"),OR($E311=T1_Income,T1_Income="All Income Groups"))</f>
        <v>1</v>
      </c>
    </row>
    <row r="312" ht="15.0" customHeight="1">
      <c r="A312" s="2" t="s">
        <v>77</v>
      </c>
      <c r="B312" s="2" t="s">
        <v>78</v>
      </c>
      <c r="C312" s="2">
        <v>2023.0</v>
      </c>
      <c r="D312" s="2" t="s">
        <v>19</v>
      </c>
      <c r="E312" s="2" t="s">
        <v>26</v>
      </c>
      <c r="F312" s="2">
        <v>36.34</v>
      </c>
      <c r="G312" s="2">
        <v>46.62</v>
      </c>
      <c r="H312" s="2">
        <v>55.86</v>
      </c>
      <c r="I312" s="2">
        <v>53.78</v>
      </c>
      <c r="J312" s="2">
        <v>48.15</v>
      </c>
      <c r="K312" s="2">
        <v>51.85</v>
      </c>
      <c r="L312" s="2" t="s">
        <v>29</v>
      </c>
      <c r="M312" s="2">
        <v>3804.08</v>
      </c>
      <c r="N312" s="2" t="str">
        <f t="shared" si="1"/>
        <v>Medium Risk</v>
      </c>
      <c r="O312" s="2" t="b">
        <f>AND(OR($D312=T1_Region,T1_Region="All Regions"),OR($E312=T1_Income,T1_Income="All Income Groups"))</f>
        <v>1</v>
      </c>
    </row>
    <row r="313" ht="15.0" customHeight="1">
      <c r="A313" s="2" t="s">
        <v>77</v>
      </c>
      <c r="B313" s="2" t="s">
        <v>78</v>
      </c>
      <c r="C313" s="2">
        <v>2024.0</v>
      </c>
      <c r="D313" s="2" t="s">
        <v>19</v>
      </c>
      <c r="E313" s="2" t="s">
        <v>26</v>
      </c>
      <c r="F313" s="2">
        <v>36.18</v>
      </c>
      <c r="G313" s="2">
        <v>47.09</v>
      </c>
      <c r="H313" s="2">
        <v>56.11</v>
      </c>
      <c r="I313" s="2">
        <v>52.67</v>
      </c>
      <c r="J313" s="2">
        <v>48.01</v>
      </c>
      <c r="K313" s="2">
        <v>51.99</v>
      </c>
      <c r="L313" s="2" t="s">
        <v>29</v>
      </c>
      <c r="M313" s="2">
        <v>3985.29</v>
      </c>
      <c r="N313" s="2" t="str">
        <f t="shared" si="1"/>
        <v>Medium Risk</v>
      </c>
      <c r="O313" s="2" t="b">
        <f>AND(OR($D313=T1_Region,T1_Region="All Regions"),OR($E313=T1_Income,T1_Income="All Income Groups"))</f>
        <v>1</v>
      </c>
    </row>
    <row r="314" ht="15.0" customHeight="1">
      <c r="A314" s="2" t="s">
        <v>79</v>
      </c>
      <c r="B314" s="2" t="s">
        <v>80</v>
      </c>
      <c r="C314" s="2">
        <v>2013.0</v>
      </c>
      <c r="D314" s="2" t="s">
        <v>50</v>
      </c>
      <c r="E314" s="2" t="s">
        <v>20</v>
      </c>
      <c r="F314" s="2">
        <v>64.19</v>
      </c>
      <c r="G314" s="2">
        <v>71.11</v>
      </c>
      <c r="H314" s="2">
        <v>69.09</v>
      </c>
      <c r="I314" s="2">
        <v>82.06</v>
      </c>
      <c r="J314" s="2">
        <v>71.61</v>
      </c>
      <c r="K314" s="2">
        <v>28.39</v>
      </c>
      <c r="L314" s="2" t="s">
        <v>97</v>
      </c>
      <c r="M314" s="2">
        <v>13621.9</v>
      </c>
      <c r="N314" s="2" t="str">
        <f t="shared" si="1"/>
        <v>Low Risk</v>
      </c>
      <c r="O314" s="2" t="b">
        <f>AND(OR($D314=T1_Region,T1_Region="All Regions"),OR($E314=T1_Income,T1_Income="All Income Groups"))</f>
        <v>1</v>
      </c>
    </row>
    <row r="315" ht="15.0" customHeight="1">
      <c r="A315" s="2" t="s">
        <v>79</v>
      </c>
      <c r="B315" s="2" t="s">
        <v>80</v>
      </c>
      <c r="C315" s="2">
        <v>2014.0</v>
      </c>
      <c r="D315" s="2" t="s">
        <v>50</v>
      </c>
      <c r="E315" s="2" t="s">
        <v>20</v>
      </c>
      <c r="F315" s="2">
        <v>63.52</v>
      </c>
      <c r="G315" s="2">
        <v>72.13</v>
      </c>
      <c r="H315" s="2">
        <v>68.52</v>
      </c>
      <c r="I315" s="2">
        <v>83.9</v>
      </c>
      <c r="J315" s="2">
        <v>72.02</v>
      </c>
      <c r="K315" s="2">
        <v>27.98</v>
      </c>
      <c r="L315" s="2" t="s">
        <v>97</v>
      </c>
      <c r="M315" s="2">
        <v>14262.28</v>
      </c>
      <c r="N315" s="2" t="str">
        <f t="shared" si="1"/>
        <v>Low Risk</v>
      </c>
      <c r="O315" s="2" t="b">
        <f>AND(OR($D315=T1_Region,T1_Region="All Regions"),OR($E315=T1_Income,T1_Income="All Income Groups"))</f>
        <v>1</v>
      </c>
    </row>
    <row r="316" ht="15.0" customHeight="1">
      <c r="A316" s="2" t="s">
        <v>79</v>
      </c>
      <c r="B316" s="2" t="s">
        <v>80</v>
      </c>
      <c r="C316" s="2">
        <v>2015.0</v>
      </c>
      <c r="D316" s="2" t="s">
        <v>50</v>
      </c>
      <c r="E316" s="2" t="s">
        <v>20</v>
      </c>
      <c r="F316" s="2">
        <v>64.77</v>
      </c>
      <c r="G316" s="2">
        <v>71.35</v>
      </c>
      <c r="H316" s="2">
        <v>67.67</v>
      </c>
      <c r="I316" s="2">
        <v>84.06</v>
      </c>
      <c r="J316" s="2">
        <v>71.96</v>
      </c>
      <c r="K316" s="2">
        <v>28.04</v>
      </c>
      <c r="L316" s="2" t="s">
        <v>97</v>
      </c>
      <c r="M316" s="2">
        <v>12637.52</v>
      </c>
      <c r="N316" s="2" t="str">
        <f t="shared" si="1"/>
        <v>Low Risk</v>
      </c>
      <c r="O316" s="2" t="b">
        <f>AND(OR($D316=T1_Region,T1_Region="All Regions"),OR($E316=T1_Income,T1_Income="All Income Groups"))</f>
        <v>1</v>
      </c>
    </row>
    <row r="317" ht="15.0" customHeight="1">
      <c r="A317" s="2" t="s">
        <v>79</v>
      </c>
      <c r="B317" s="2" t="s">
        <v>80</v>
      </c>
      <c r="C317" s="2">
        <v>2016.0</v>
      </c>
      <c r="D317" s="2" t="s">
        <v>50</v>
      </c>
      <c r="E317" s="2" t="s">
        <v>20</v>
      </c>
      <c r="F317" s="2">
        <v>65.48</v>
      </c>
      <c r="G317" s="2">
        <v>69.95</v>
      </c>
      <c r="H317" s="2">
        <v>67.66</v>
      </c>
      <c r="I317" s="2">
        <v>75.65</v>
      </c>
      <c r="J317" s="2">
        <v>69.68</v>
      </c>
      <c r="K317" s="2">
        <v>30.32</v>
      </c>
      <c r="L317" s="2" t="s">
        <v>97</v>
      </c>
      <c r="M317" s="2">
        <v>12464.01</v>
      </c>
      <c r="N317" s="2" t="str">
        <f t="shared" si="1"/>
        <v>Low Risk</v>
      </c>
      <c r="O317" s="2" t="b">
        <f>AND(OR($D317=T1_Region,T1_Region="All Regions"),OR($E317=T1_Income,T1_Income="All Income Groups"))</f>
        <v>1</v>
      </c>
    </row>
    <row r="318" ht="15.0" customHeight="1">
      <c r="A318" s="2" t="s">
        <v>79</v>
      </c>
      <c r="B318" s="2" t="s">
        <v>80</v>
      </c>
      <c r="C318" s="2">
        <v>2017.0</v>
      </c>
      <c r="D318" s="2" t="s">
        <v>50</v>
      </c>
      <c r="E318" s="2" t="s">
        <v>20</v>
      </c>
      <c r="F318" s="2">
        <v>64.64</v>
      </c>
      <c r="G318" s="2">
        <v>67.62</v>
      </c>
      <c r="H318" s="2">
        <v>66.25</v>
      </c>
      <c r="I318" s="2">
        <v>76.18</v>
      </c>
      <c r="J318" s="2">
        <v>68.67</v>
      </c>
      <c r="K318" s="2">
        <v>31.33</v>
      </c>
      <c r="L318" s="2" t="s">
        <v>97</v>
      </c>
      <c r="M318" s="2">
        <v>13913.34</v>
      </c>
      <c r="N318" s="2" t="str">
        <f t="shared" si="1"/>
        <v>Low Risk</v>
      </c>
      <c r="O318" s="2" t="b">
        <f>AND(OR($D318=T1_Region,T1_Region="All Regions"),OR($E318=T1_Income,T1_Income="All Income Groups"))</f>
        <v>1</v>
      </c>
    </row>
    <row r="319" ht="15.0" customHeight="1">
      <c r="A319" s="2" t="s">
        <v>79</v>
      </c>
      <c r="B319" s="2" t="s">
        <v>80</v>
      </c>
      <c r="C319" s="2">
        <v>2018.0</v>
      </c>
      <c r="D319" s="2" t="s">
        <v>50</v>
      </c>
      <c r="E319" s="2" t="s">
        <v>20</v>
      </c>
      <c r="F319" s="2">
        <v>63.58</v>
      </c>
      <c r="G319" s="2">
        <v>66.38</v>
      </c>
      <c r="H319" s="2">
        <v>66.89</v>
      </c>
      <c r="I319" s="2">
        <v>76.66</v>
      </c>
      <c r="J319" s="2">
        <v>68.38</v>
      </c>
      <c r="K319" s="2">
        <v>31.62</v>
      </c>
      <c r="L319" s="2" t="s">
        <v>97</v>
      </c>
      <c r="M319" s="2">
        <v>15658.21</v>
      </c>
      <c r="N319" s="2" t="str">
        <f t="shared" si="1"/>
        <v>Low Risk</v>
      </c>
      <c r="O319" s="2" t="b">
        <f>AND(OR($D319=T1_Region,T1_Region="All Regions"),OR($E319=T1_Income,T1_Income="All Income Groups"))</f>
        <v>1</v>
      </c>
    </row>
    <row r="320" ht="15.0" customHeight="1">
      <c r="A320" s="2" t="s">
        <v>79</v>
      </c>
      <c r="B320" s="2" t="s">
        <v>80</v>
      </c>
      <c r="C320" s="2">
        <v>2019.0</v>
      </c>
      <c r="D320" s="2" t="s">
        <v>50</v>
      </c>
      <c r="E320" s="2" t="s">
        <v>20</v>
      </c>
      <c r="F320" s="2">
        <v>62.35</v>
      </c>
      <c r="G320" s="2">
        <v>66.02</v>
      </c>
      <c r="H320" s="2">
        <v>67.92</v>
      </c>
      <c r="I320" s="2">
        <v>77.4</v>
      </c>
      <c r="J320" s="2">
        <v>68.42</v>
      </c>
      <c r="K320" s="2">
        <v>31.58</v>
      </c>
      <c r="L320" s="2" t="s">
        <v>97</v>
      </c>
      <c r="M320" s="2">
        <v>15874.52</v>
      </c>
      <c r="N320" s="2" t="str">
        <f t="shared" si="1"/>
        <v>Low Risk</v>
      </c>
      <c r="O320" s="2" t="b">
        <f>AND(OR($D320=T1_Region,T1_Region="All Regions"),OR($E320=T1_Income,T1_Income="All Income Groups"))</f>
        <v>1</v>
      </c>
    </row>
    <row r="321" ht="15.0" customHeight="1">
      <c r="A321" s="2" t="s">
        <v>79</v>
      </c>
      <c r="B321" s="2" t="s">
        <v>80</v>
      </c>
      <c r="C321" s="2">
        <v>2020.0</v>
      </c>
      <c r="D321" s="2" t="s">
        <v>50</v>
      </c>
      <c r="E321" s="2" t="s">
        <v>20</v>
      </c>
      <c r="F321" s="2">
        <v>62.92</v>
      </c>
      <c r="G321" s="2">
        <v>64.88</v>
      </c>
      <c r="H321" s="2">
        <v>65.67</v>
      </c>
      <c r="I321" s="2">
        <v>75.37</v>
      </c>
      <c r="J321" s="2">
        <v>67.21</v>
      </c>
      <c r="K321" s="2">
        <v>32.79</v>
      </c>
      <c r="L321" s="2" t="s">
        <v>97</v>
      </c>
      <c r="M321" s="2">
        <v>16150.93</v>
      </c>
      <c r="N321" s="2" t="str">
        <f t="shared" si="1"/>
        <v>Low Risk</v>
      </c>
      <c r="O321" s="2" t="b">
        <f>AND(OR($D321=T1_Region,T1_Region="All Regions"),OR($E321=T1_Income,T1_Income="All Income Groups"))</f>
        <v>1</v>
      </c>
    </row>
    <row r="322" ht="15.0" customHeight="1">
      <c r="A322" s="2" t="s">
        <v>79</v>
      </c>
      <c r="B322" s="2" t="s">
        <v>80</v>
      </c>
      <c r="C322" s="2">
        <v>2021.0</v>
      </c>
      <c r="D322" s="2" t="s">
        <v>50</v>
      </c>
      <c r="E322" s="2" t="s">
        <v>20</v>
      </c>
      <c r="F322" s="2">
        <v>61.76</v>
      </c>
      <c r="G322" s="2">
        <v>64.02</v>
      </c>
      <c r="H322" s="2">
        <v>65.49</v>
      </c>
      <c r="I322" s="2">
        <v>75.55</v>
      </c>
      <c r="J322" s="2">
        <v>66.7</v>
      </c>
      <c r="K322" s="2">
        <v>33.3</v>
      </c>
      <c r="L322" s="2" t="s">
        <v>97</v>
      </c>
      <c r="M322" s="2">
        <v>18635.51</v>
      </c>
      <c r="N322" s="2" t="str">
        <f t="shared" si="1"/>
        <v>Low Risk</v>
      </c>
      <c r="O322" s="2" t="b">
        <f>AND(OR($D322=T1_Region,T1_Region="All Regions"),OR($E322=T1_Income,T1_Income="All Income Groups"))</f>
        <v>1</v>
      </c>
    </row>
    <row r="323" ht="15.0" customHeight="1">
      <c r="A323" s="2" t="s">
        <v>79</v>
      </c>
      <c r="B323" s="2" t="s">
        <v>80</v>
      </c>
      <c r="C323" s="2">
        <v>2022.0</v>
      </c>
      <c r="D323" s="2" t="s">
        <v>50</v>
      </c>
      <c r="E323" s="2" t="s">
        <v>20</v>
      </c>
      <c r="F323" s="2">
        <v>61.36</v>
      </c>
      <c r="G323" s="2">
        <v>63.07</v>
      </c>
      <c r="H323" s="2">
        <v>65.7</v>
      </c>
      <c r="I323" s="2">
        <v>75.08</v>
      </c>
      <c r="J323" s="2">
        <v>66.3</v>
      </c>
      <c r="K323" s="2">
        <v>33.7</v>
      </c>
      <c r="L323" s="2" t="s">
        <v>97</v>
      </c>
      <c r="M323" s="2">
        <v>18891.21</v>
      </c>
      <c r="N323" s="2" t="str">
        <f t="shared" si="1"/>
        <v>Low Risk</v>
      </c>
      <c r="O323" s="2" t="b">
        <f>AND(OR($D323=T1_Region,T1_Region="All Regions"),OR($E323=T1_Income,T1_Income="All Income Groups"))</f>
        <v>1</v>
      </c>
    </row>
    <row r="324" ht="15.0" customHeight="1">
      <c r="A324" s="2" t="s">
        <v>79</v>
      </c>
      <c r="B324" s="2" t="s">
        <v>80</v>
      </c>
      <c r="C324" s="2">
        <v>2023.0</v>
      </c>
      <c r="D324" s="2" t="s">
        <v>50</v>
      </c>
      <c r="E324" s="2" t="s">
        <v>20</v>
      </c>
      <c r="F324" s="2">
        <v>63.11</v>
      </c>
      <c r="G324" s="2">
        <v>63.1</v>
      </c>
      <c r="H324" s="2">
        <v>66.3</v>
      </c>
      <c r="I324" s="2">
        <v>74.53</v>
      </c>
      <c r="J324" s="2">
        <v>66.76</v>
      </c>
      <c r="K324" s="2">
        <v>33.24</v>
      </c>
      <c r="L324" s="2" t="s">
        <v>97</v>
      </c>
      <c r="M324" s="2">
        <v>22145.27</v>
      </c>
      <c r="N324" s="2" t="str">
        <f t="shared" si="1"/>
        <v>Low Risk</v>
      </c>
      <c r="O324" s="2" t="b">
        <f>AND(OR($D324=T1_Region,T1_Region="All Regions"),OR($E324=T1_Income,T1_Income="All Income Groups"))</f>
        <v>1</v>
      </c>
    </row>
    <row r="325" ht="15.0" customHeight="1">
      <c r="A325" s="2" t="s">
        <v>79</v>
      </c>
      <c r="B325" s="2" t="s">
        <v>80</v>
      </c>
      <c r="C325" s="2">
        <v>2024.0</v>
      </c>
      <c r="D325" s="2" t="s">
        <v>50</v>
      </c>
      <c r="E325" s="2" t="s">
        <v>20</v>
      </c>
      <c r="F325" s="2">
        <v>63.93</v>
      </c>
      <c r="G325" s="2">
        <v>66.89</v>
      </c>
      <c r="H325" s="2">
        <v>65.68</v>
      </c>
      <c r="I325" s="2">
        <v>74.41</v>
      </c>
      <c r="J325" s="2">
        <v>67.73</v>
      </c>
      <c r="K325" s="2">
        <v>32.27</v>
      </c>
      <c r="L325" s="2" t="s">
        <v>97</v>
      </c>
      <c r="M325" s="2">
        <v>25103.57</v>
      </c>
      <c r="N325" s="2" t="str">
        <f t="shared" si="1"/>
        <v>Low Risk</v>
      </c>
      <c r="O325" s="2" t="b">
        <f>AND(OR($D325=T1_Region,T1_Region="All Regions"),OR($E325=T1_Income,T1_Income="All Income Groups"))</f>
        <v>1</v>
      </c>
    </row>
    <row r="326" ht="15.0" customHeight="1">
      <c r="A326" s="2" t="s">
        <v>81</v>
      </c>
      <c r="B326" s="2" t="s">
        <v>82</v>
      </c>
      <c r="C326" s="2">
        <v>2013.0</v>
      </c>
      <c r="D326" s="2" t="s">
        <v>50</v>
      </c>
      <c r="E326" s="2" t="s">
        <v>13</v>
      </c>
      <c r="F326" s="2">
        <v>27.57</v>
      </c>
      <c r="G326" s="2">
        <v>41.21</v>
      </c>
      <c r="H326" s="2">
        <v>48.46</v>
      </c>
      <c r="I326" s="2">
        <v>51.75</v>
      </c>
      <c r="J326" s="2">
        <v>42.25</v>
      </c>
      <c r="K326" s="2">
        <v>57.75</v>
      </c>
      <c r="L326" s="2" t="s">
        <v>29</v>
      </c>
      <c r="M326" s="2">
        <v>15941.45</v>
      </c>
      <c r="N326" s="2" t="str">
        <f t="shared" si="1"/>
        <v>Medium Risk</v>
      </c>
      <c r="O326" s="2" t="b">
        <f>AND(OR($D326=T1_Region,T1_Region="All Regions"),OR($E326=T1_Income,T1_Income="All Income Groups"))</f>
        <v>1</v>
      </c>
    </row>
    <row r="327" ht="15.0" customHeight="1">
      <c r="A327" s="2" t="s">
        <v>81</v>
      </c>
      <c r="B327" s="2" t="s">
        <v>82</v>
      </c>
      <c r="C327" s="2">
        <v>2014.0</v>
      </c>
      <c r="D327" s="2" t="s">
        <v>50</v>
      </c>
      <c r="E327" s="2" t="s">
        <v>13</v>
      </c>
      <c r="F327" s="2">
        <v>29.89</v>
      </c>
      <c r="G327" s="2">
        <v>42.29</v>
      </c>
      <c r="H327" s="2">
        <v>47.76</v>
      </c>
      <c r="I327" s="2">
        <v>53.94</v>
      </c>
      <c r="J327" s="2">
        <v>43.47</v>
      </c>
      <c r="K327" s="2">
        <v>56.53</v>
      </c>
      <c r="L327" s="2" t="s">
        <v>29</v>
      </c>
      <c r="M327" s="2">
        <v>14055.47</v>
      </c>
      <c r="N327" s="2" t="str">
        <f t="shared" si="1"/>
        <v>Medium Risk</v>
      </c>
      <c r="O327" s="2" t="b">
        <f>AND(OR($D327=T1_Region,T1_Region="All Regions"),OR($E327=T1_Income,T1_Income="All Income Groups"))</f>
        <v>1</v>
      </c>
    </row>
    <row r="328" ht="15.0" customHeight="1">
      <c r="A328" s="2" t="s">
        <v>81</v>
      </c>
      <c r="B328" s="2" t="s">
        <v>82</v>
      </c>
      <c r="C328" s="2">
        <v>2015.0</v>
      </c>
      <c r="D328" s="2" t="s">
        <v>50</v>
      </c>
      <c r="E328" s="2" t="s">
        <v>13</v>
      </c>
      <c r="F328" s="2">
        <v>29.37</v>
      </c>
      <c r="G328" s="2">
        <v>41.32</v>
      </c>
      <c r="H328" s="2">
        <v>46.73</v>
      </c>
      <c r="I328" s="2">
        <v>52.39</v>
      </c>
      <c r="J328" s="2">
        <v>42.45</v>
      </c>
      <c r="K328" s="2">
        <v>57.55</v>
      </c>
      <c r="L328" s="2" t="s">
        <v>29</v>
      </c>
      <c r="M328" s="2">
        <v>9277.71</v>
      </c>
      <c r="N328" s="2" t="str">
        <f t="shared" si="1"/>
        <v>Medium Risk</v>
      </c>
      <c r="O328" s="2" t="b">
        <f>AND(OR($D328=T1_Region,T1_Region="All Regions"),OR($E328=T1_Income,T1_Income="All Income Groups"))</f>
        <v>1</v>
      </c>
    </row>
    <row r="329" ht="15.0" customHeight="1">
      <c r="A329" s="2" t="s">
        <v>81</v>
      </c>
      <c r="B329" s="2" t="s">
        <v>82</v>
      </c>
      <c r="C329" s="2">
        <v>2016.0</v>
      </c>
      <c r="D329" s="2" t="s">
        <v>50</v>
      </c>
      <c r="E329" s="2" t="s">
        <v>13</v>
      </c>
      <c r="F329" s="2">
        <v>31.13</v>
      </c>
      <c r="G329" s="2">
        <v>42.04</v>
      </c>
      <c r="H329" s="2">
        <v>48.17</v>
      </c>
      <c r="I329" s="2">
        <v>52.77</v>
      </c>
      <c r="J329" s="2">
        <v>43.53</v>
      </c>
      <c r="K329" s="2">
        <v>56.47</v>
      </c>
      <c r="L329" s="2" t="s">
        <v>29</v>
      </c>
      <c r="M329" s="2">
        <v>8663.16</v>
      </c>
      <c r="N329" s="2" t="str">
        <f t="shared" si="1"/>
        <v>Medium Risk</v>
      </c>
      <c r="O329" s="2" t="b">
        <f>AND(OR($D329=T1_Region,T1_Region="All Regions"),OR($E329=T1_Income,T1_Income="All Income Groups"))</f>
        <v>1</v>
      </c>
    </row>
    <row r="330" ht="15.0" customHeight="1">
      <c r="A330" s="2" t="s">
        <v>81</v>
      </c>
      <c r="B330" s="2" t="s">
        <v>82</v>
      </c>
      <c r="C330" s="2">
        <v>2017.0</v>
      </c>
      <c r="D330" s="2" t="s">
        <v>50</v>
      </c>
      <c r="E330" s="2" t="s">
        <v>13</v>
      </c>
      <c r="F330" s="2">
        <v>29.37</v>
      </c>
      <c r="G330" s="2">
        <v>42.56</v>
      </c>
      <c r="H330" s="2">
        <v>48.61</v>
      </c>
      <c r="I330" s="2">
        <v>56.69</v>
      </c>
      <c r="J330" s="2">
        <v>44.31</v>
      </c>
      <c r="K330" s="2">
        <v>55.69</v>
      </c>
      <c r="L330" s="2" t="s">
        <v>29</v>
      </c>
      <c r="M330" s="2">
        <v>10658.91</v>
      </c>
      <c r="N330" s="2" t="str">
        <f t="shared" si="1"/>
        <v>Medium Risk</v>
      </c>
      <c r="O330" s="2" t="b">
        <f>AND(OR($D330=T1_Region,T1_Region="All Regions"),OR($E330=T1_Income,T1_Income="All Income Groups"))</f>
        <v>1</v>
      </c>
    </row>
    <row r="331" ht="15.0" customHeight="1">
      <c r="A331" s="2" t="s">
        <v>81</v>
      </c>
      <c r="B331" s="2" t="s">
        <v>82</v>
      </c>
      <c r="C331" s="2">
        <v>2018.0</v>
      </c>
      <c r="D331" s="2" t="s">
        <v>50</v>
      </c>
      <c r="E331" s="2" t="s">
        <v>13</v>
      </c>
      <c r="F331" s="2">
        <v>29.87</v>
      </c>
      <c r="G331" s="2">
        <v>42.64</v>
      </c>
      <c r="H331" s="2">
        <v>49.22</v>
      </c>
      <c r="I331" s="2">
        <v>59.61</v>
      </c>
      <c r="J331" s="2">
        <v>45.33</v>
      </c>
      <c r="K331" s="2">
        <v>54.67</v>
      </c>
      <c r="L331" s="2" t="s">
        <v>29</v>
      </c>
      <c r="M331" s="2">
        <v>11211.89</v>
      </c>
      <c r="N331" s="2" t="str">
        <f t="shared" si="1"/>
        <v>Medium Risk</v>
      </c>
      <c r="O331" s="2" t="b">
        <f>AND(OR($D331=T1_Region,T1_Region="All Regions"),OR($E331=T1_Income,T1_Income="All Income Groups"))</f>
        <v>1</v>
      </c>
    </row>
    <row r="332" ht="15.0" customHeight="1">
      <c r="A332" s="2" t="s">
        <v>81</v>
      </c>
      <c r="B332" s="2" t="s">
        <v>82</v>
      </c>
      <c r="C332" s="2">
        <v>2019.0</v>
      </c>
      <c r="D332" s="2" t="s">
        <v>50</v>
      </c>
      <c r="E332" s="2" t="s">
        <v>13</v>
      </c>
      <c r="F332" s="2">
        <v>32.28</v>
      </c>
      <c r="G332" s="2">
        <v>42.05</v>
      </c>
      <c r="H332" s="2">
        <v>49.28</v>
      </c>
      <c r="I332" s="2">
        <v>59.08</v>
      </c>
      <c r="J332" s="2">
        <v>45.67</v>
      </c>
      <c r="K332" s="2">
        <v>54.33</v>
      </c>
      <c r="L332" s="2" t="s">
        <v>29</v>
      </c>
      <c r="M332" s="2">
        <v>11447.7</v>
      </c>
      <c r="N332" s="2" t="str">
        <f t="shared" si="1"/>
        <v>Medium Risk</v>
      </c>
      <c r="O332" s="2" t="b">
        <f>AND(OR($D332=T1_Region,T1_Region="All Regions"),OR($E332=T1_Income,T1_Income="All Income Groups"))</f>
        <v>1</v>
      </c>
    </row>
    <row r="333" ht="15.0" customHeight="1">
      <c r="A333" s="2" t="s">
        <v>81</v>
      </c>
      <c r="B333" s="2" t="s">
        <v>82</v>
      </c>
      <c r="C333" s="2">
        <v>2020.0</v>
      </c>
      <c r="D333" s="2" t="s">
        <v>50</v>
      </c>
      <c r="E333" s="2" t="s">
        <v>13</v>
      </c>
      <c r="F333" s="2">
        <v>32.17</v>
      </c>
      <c r="G333" s="2">
        <v>42.76</v>
      </c>
      <c r="H333" s="2">
        <v>47.84</v>
      </c>
      <c r="I333" s="2">
        <v>57.24</v>
      </c>
      <c r="J333" s="2">
        <v>45.0</v>
      </c>
      <c r="K333" s="2">
        <v>55.0</v>
      </c>
      <c r="L333" s="2" t="s">
        <v>29</v>
      </c>
      <c r="M333" s="2">
        <v>10108.33</v>
      </c>
      <c r="N333" s="2" t="str">
        <f t="shared" si="1"/>
        <v>Medium Risk</v>
      </c>
      <c r="O333" s="2" t="b">
        <f>AND(OR($D333=T1_Region,T1_Region="All Regions"),OR($E333=T1_Income,T1_Income="All Income Groups"))</f>
        <v>1</v>
      </c>
    </row>
    <row r="334" ht="15.0" customHeight="1">
      <c r="A334" s="2" t="s">
        <v>81</v>
      </c>
      <c r="B334" s="2" t="s">
        <v>82</v>
      </c>
      <c r="C334" s="2">
        <v>2021.0</v>
      </c>
      <c r="D334" s="2" t="s">
        <v>50</v>
      </c>
      <c r="E334" s="2" t="s">
        <v>13</v>
      </c>
      <c r="F334" s="2">
        <v>32.09</v>
      </c>
      <c r="G334" s="2">
        <v>41.43</v>
      </c>
      <c r="H334" s="2">
        <v>49.0</v>
      </c>
      <c r="I334" s="2">
        <v>57.25</v>
      </c>
      <c r="J334" s="2">
        <v>44.94</v>
      </c>
      <c r="K334" s="2">
        <v>55.06</v>
      </c>
      <c r="L334" s="2" t="s">
        <v>29</v>
      </c>
      <c r="M334" s="2">
        <v>12425.03</v>
      </c>
      <c r="N334" s="2" t="str">
        <f t="shared" si="1"/>
        <v>Medium Risk</v>
      </c>
      <c r="O334" s="2" t="b">
        <f>AND(OR($D334=T1_Region,T1_Region="All Regions"),OR($E334=T1_Income,T1_Income="All Income Groups"))</f>
        <v>1</v>
      </c>
    </row>
    <row r="335" ht="15.0" customHeight="1">
      <c r="A335" s="2" t="s">
        <v>81</v>
      </c>
      <c r="B335" s="2" t="s">
        <v>82</v>
      </c>
      <c r="C335" s="2">
        <v>2022.0</v>
      </c>
      <c r="D335" s="2" t="s">
        <v>50</v>
      </c>
      <c r="E335" s="2" t="s">
        <v>13</v>
      </c>
      <c r="F335" s="2">
        <v>32.21</v>
      </c>
      <c r="G335" s="2">
        <v>38.81</v>
      </c>
      <c r="H335" s="2">
        <v>40.8</v>
      </c>
      <c r="I335" s="2">
        <v>53.24</v>
      </c>
      <c r="J335" s="2">
        <v>41.26</v>
      </c>
      <c r="K335" s="2">
        <v>58.74</v>
      </c>
      <c r="L335" s="2" t="s">
        <v>29</v>
      </c>
      <c r="M335" s="2">
        <v>15625.63</v>
      </c>
      <c r="N335" s="2" t="str">
        <f t="shared" si="1"/>
        <v>Medium Risk</v>
      </c>
      <c r="O335" s="2" t="b">
        <f>AND(OR($D335=T1_Region,T1_Region="All Regions"),OR($E335=T1_Income,T1_Income="All Income Groups"))</f>
        <v>1</v>
      </c>
    </row>
    <row r="336" ht="15.0" customHeight="1">
      <c r="A336" s="2" t="s">
        <v>81</v>
      </c>
      <c r="B336" s="2" t="s">
        <v>82</v>
      </c>
      <c r="C336" s="2">
        <v>2023.0</v>
      </c>
      <c r="D336" s="2" t="s">
        <v>50</v>
      </c>
      <c r="E336" s="2" t="s">
        <v>13</v>
      </c>
      <c r="F336" s="2">
        <v>29.89</v>
      </c>
      <c r="G336" s="2">
        <v>38.49</v>
      </c>
      <c r="H336" s="2">
        <v>40.84</v>
      </c>
      <c r="I336" s="2">
        <v>51.91</v>
      </c>
      <c r="J336" s="2">
        <v>40.28</v>
      </c>
      <c r="K336" s="2">
        <v>59.72</v>
      </c>
      <c r="L336" s="2" t="s">
        <v>29</v>
      </c>
      <c r="M336" s="2">
        <v>13987.0</v>
      </c>
      <c r="N336" s="2" t="str">
        <f t="shared" si="1"/>
        <v>Medium Risk</v>
      </c>
      <c r="O336" s="2" t="b">
        <f>AND(OR($D336=T1_Region,T1_Region="All Regions"),OR($E336=T1_Income,T1_Income="All Income Groups"))</f>
        <v>1</v>
      </c>
    </row>
    <row r="337" ht="15.0" customHeight="1">
      <c r="A337" s="2" t="s">
        <v>81</v>
      </c>
      <c r="B337" s="2" t="s">
        <v>82</v>
      </c>
      <c r="C337" s="2">
        <v>2024.0</v>
      </c>
      <c r="D337" s="2" t="s">
        <v>50</v>
      </c>
      <c r="E337" s="2" t="s">
        <v>13</v>
      </c>
      <c r="F337" s="2">
        <v>29.82</v>
      </c>
      <c r="G337" s="2">
        <v>37.06</v>
      </c>
      <c r="H337" s="2">
        <v>38.01</v>
      </c>
      <c r="I337" s="2">
        <v>50.46</v>
      </c>
      <c r="J337" s="2">
        <v>38.84</v>
      </c>
      <c r="K337" s="2">
        <v>61.16</v>
      </c>
      <c r="L337" s="2" t="s">
        <v>29</v>
      </c>
      <c r="M337" s="2">
        <v>14961.9</v>
      </c>
      <c r="N337" s="2" t="str">
        <f t="shared" si="1"/>
        <v>Medium Risk</v>
      </c>
      <c r="O337" s="2" t="b">
        <f>AND(OR($D337=T1_Region,T1_Region="All Regions"),OR($E337=T1_Income,T1_Income="All Income Groups"))</f>
        <v>1</v>
      </c>
    </row>
    <row r="338" ht="15.0" customHeight="1">
      <c r="A338" s="2" t="s">
        <v>83</v>
      </c>
      <c r="B338" s="2" t="s">
        <v>84</v>
      </c>
      <c r="C338" s="2">
        <v>2013.0</v>
      </c>
      <c r="D338" s="2" t="s">
        <v>45</v>
      </c>
      <c r="E338" s="2" t="s">
        <v>20</v>
      </c>
      <c r="F338" s="2">
        <v>44.26</v>
      </c>
      <c r="G338" s="2">
        <v>53.48</v>
      </c>
      <c r="H338" s="2">
        <v>59.16</v>
      </c>
      <c r="I338" s="2">
        <v>54.62</v>
      </c>
      <c r="J338" s="2">
        <v>52.88</v>
      </c>
      <c r="K338" s="2">
        <v>47.12</v>
      </c>
      <c r="L338" s="2" t="s">
        <v>29</v>
      </c>
      <c r="M338" s="2">
        <v>27865.47</v>
      </c>
      <c r="N338" s="2" t="str">
        <f t="shared" si="1"/>
        <v>Medium Risk</v>
      </c>
      <c r="O338" s="2" t="b">
        <f>AND(OR($D338=T1_Region,T1_Region="All Regions"),OR($E338=T1_Income,T1_Income="All Income Groups"))</f>
        <v>1</v>
      </c>
    </row>
    <row r="339" ht="15.0" customHeight="1">
      <c r="A339" s="2" t="s">
        <v>83</v>
      </c>
      <c r="B339" s="2" t="s">
        <v>84</v>
      </c>
      <c r="C339" s="2">
        <v>2014.0</v>
      </c>
      <c r="D339" s="2" t="s">
        <v>45</v>
      </c>
      <c r="E339" s="2" t="s">
        <v>20</v>
      </c>
      <c r="F339" s="2">
        <v>42.78</v>
      </c>
      <c r="G339" s="2">
        <v>49.48</v>
      </c>
      <c r="H339" s="2">
        <v>57.93</v>
      </c>
      <c r="I339" s="2">
        <v>60.62</v>
      </c>
      <c r="J339" s="2">
        <v>52.7</v>
      </c>
      <c r="K339" s="2">
        <v>47.3</v>
      </c>
      <c r="L339" s="2" t="s">
        <v>29</v>
      </c>
      <c r="M339" s="2">
        <v>27805.49</v>
      </c>
      <c r="N339" s="2" t="str">
        <f t="shared" si="1"/>
        <v>Medium Risk</v>
      </c>
      <c r="O339" s="2" t="b">
        <f>AND(OR($D339=T1_Region,T1_Region="All Regions"),OR($E339=T1_Income,T1_Income="All Income Groups"))</f>
        <v>1</v>
      </c>
    </row>
    <row r="340" ht="15.0" customHeight="1">
      <c r="A340" s="2" t="s">
        <v>83</v>
      </c>
      <c r="B340" s="2" t="s">
        <v>84</v>
      </c>
      <c r="C340" s="2">
        <v>2015.0</v>
      </c>
      <c r="D340" s="2" t="s">
        <v>45</v>
      </c>
      <c r="E340" s="2" t="s">
        <v>20</v>
      </c>
      <c r="F340" s="2">
        <v>45.0</v>
      </c>
      <c r="G340" s="2">
        <v>52.36</v>
      </c>
      <c r="H340" s="2">
        <v>58.61</v>
      </c>
      <c r="I340" s="2">
        <v>57.89</v>
      </c>
      <c r="J340" s="2">
        <v>53.46</v>
      </c>
      <c r="K340" s="2">
        <v>46.54</v>
      </c>
      <c r="L340" s="2" t="s">
        <v>29</v>
      </c>
      <c r="M340" s="2">
        <v>23256.15</v>
      </c>
      <c r="N340" s="2" t="str">
        <f t="shared" si="1"/>
        <v>Medium Risk</v>
      </c>
      <c r="O340" s="2" t="b">
        <f>AND(OR($D340=T1_Region,T1_Region="All Regions"),OR($E340=T1_Income,T1_Income="All Income Groups"))</f>
        <v>1</v>
      </c>
    </row>
    <row r="341" ht="15.0" customHeight="1">
      <c r="A341" s="2" t="s">
        <v>83</v>
      </c>
      <c r="B341" s="2" t="s">
        <v>84</v>
      </c>
      <c r="C341" s="2">
        <v>2016.0</v>
      </c>
      <c r="D341" s="2" t="s">
        <v>45</v>
      </c>
      <c r="E341" s="2" t="s">
        <v>20</v>
      </c>
      <c r="F341" s="2">
        <v>50.29</v>
      </c>
      <c r="G341" s="2">
        <v>53.52</v>
      </c>
      <c r="H341" s="2">
        <v>57.83</v>
      </c>
      <c r="I341" s="2">
        <v>57.25</v>
      </c>
      <c r="J341" s="2">
        <v>54.72</v>
      </c>
      <c r="K341" s="2">
        <v>45.28</v>
      </c>
      <c r="L341" s="2" t="s">
        <v>29</v>
      </c>
      <c r="M341" s="2">
        <v>22267.72</v>
      </c>
      <c r="N341" s="2" t="str">
        <f t="shared" si="1"/>
        <v>Medium Risk</v>
      </c>
      <c r="O341" s="2" t="b">
        <f>AND(OR($D341=T1_Region,T1_Region="All Regions"),OR($E341=T1_Income,T1_Income="All Income Groups"))</f>
        <v>1</v>
      </c>
    </row>
    <row r="342" ht="15.0" customHeight="1">
      <c r="A342" s="2" t="s">
        <v>83</v>
      </c>
      <c r="B342" s="2" t="s">
        <v>84</v>
      </c>
      <c r="C342" s="2">
        <v>2017.0</v>
      </c>
      <c r="D342" s="2" t="s">
        <v>45</v>
      </c>
      <c r="E342" s="2" t="s">
        <v>20</v>
      </c>
      <c r="F342" s="2">
        <v>50.08</v>
      </c>
      <c r="G342" s="2">
        <v>51.24</v>
      </c>
      <c r="H342" s="2">
        <v>56.45</v>
      </c>
      <c r="I342" s="2">
        <v>54.49</v>
      </c>
      <c r="J342" s="2">
        <v>53.06</v>
      </c>
      <c r="K342" s="2">
        <v>46.94</v>
      </c>
      <c r="L342" s="2" t="s">
        <v>29</v>
      </c>
      <c r="M342" s="2">
        <v>23929.29</v>
      </c>
      <c r="N342" s="2" t="str">
        <f t="shared" si="1"/>
        <v>Medium Risk</v>
      </c>
      <c r="O342" s="2" t="b">
        <f>AND(OR($D342=T1_Region,T1_Region="All Regions"),OR($E342=T1_Income,T1_Income="All Income Groups"))</f>
        <v>1</v>
      </c>
    </row>
    <row r="343" ht="15.0" customHeight="1">
      <c r="A343" s="2" t="s">
        <v>83</v>
      </c>
      <c r="B343" s="2" t="s">
        <v>84</v>
      </c>
      <c r="C343" s="2">
        <v>2018.0</v>
      </c>
      <c r="D343" s="2" t="s">
        <v>45</v>
      </c>
      <c r="E343" s="2" t="s">
        <v>20</v>
      </c>
      <c r="F343" s="2">
        <v>51.01</v>
      </c>
      <c r="G343" s="2">
        <v>52.96</v>
      </c>
      <c r="H343" s="2">
        <v>56.13</v>
      </c>
      <c r="I343" s="2">
        <v>55.67</v>
      </c>
      <c r="J343" s="2">
        <v>53.94</v>
      </c>
      <c r="K343" s="2">
        <v>46.06</v>
      </c>
      <c r="L343" s="2" t="s">
        <v>29</v>
      </c>
      <c r="M343" s="2">
        <v>29360.07</v>
      </c>
      <c r="N343" s="2" t="str">
        <f t="shared" si="1"/>
        <v>Medium Risk</v>
      </c>
      <c r="O343" s="2" t="b">
        <f>AND(OR($D343=T1_Region,T1_Region="All Regions"),OR($E343=T1_Income,T1_Income="All Income Groups"))</f>
        <v>1</v>
      </c>
    </row>
    <row r="344" ht="15.0" customHeight="1">
      <c r="A344" s="2" t="s">
        <v>83</v>
      </c>
      <c r="B344" s="2" t="s">
        <v>84</v>
      </c>
      <c r="C344" s="2">
        <v>2019.0</v>
      </c>
      <c r="D344" s="2" t="s">
        <v>45</v>
      </c>
      <c r="E344" s="2" t="s">
        <v>20</v>
      </c>
      <c r="F344" s="2">
        <v>52.17</v>
      </c>
      <c r="G344" s="2">
        <v>54.05</v>
      </c>
      <c r="H344" s="2">
        <v>57.69</v>
      </c>
      <c r="I344" s="2">
        <v>56.45</v>
      </c>
      <c r="J344" s="2">
        <v>55.09</v>
      </c>
      <c r="K344" s="2">
        <v>44.91</v>
      </c>
      <c r="L344" s="2" t="s">
        <v>29</v>
      </c>
      <c r="M344" s="2">
        <v>29566.79</v>
      </c>
      <c r="N344" s="2" t="str">
        <f t="shared" si="1"/>
        <v>Medium Risk</v>
      </c>
      <c r="O344" s="2" t="b">
        <f>AND(OR($D344=T1_Region,T1_Region="All Regions"),OR($E344=T1_Income,T1_Income="All Income Groups"))</f>
        <v>1</v>
      </c>
    </row>
    <row r="345" ht="15.0" customHeight="1">
      <c r="A345" s="2" t="s">
        <v>83</v>
      </c>
      <c r="B345" s="2" t="s">
        <v>84</v>
      </c>
      <c r="C345" s="2">
        <v>2020.0</v>
      </c>
      <c r="D345" s="2" t="s">
        <v>45</v>
      </c>
      <c r="E345" s="2" t="s">
        <v>20</v>
      </c>
      <c r="F345" s="2">
        <v>54.36</v>
      </c>
      <c r="G345" s="2">
        <v>53.88</v>
      </c>
      <c r="H345" s="2">
        <v>57.59</v>
      </c>
      <c r="I345" s="2">
        <v>56.45</v>
      </c>
      <c r="J345" s="2">
        <v>55.57</v>
      </c>
      <c r="K345" s="2">
        <v>44.43</v>
      </c>
      <c r="L345" s="2" t="s">
        <v>29</v>
      </c>
      <c r="M345" s="2">
        <v>24338.83</v>
      </c>
      <c r="N345" s="2" t="str">
        <f t="shared" si="1"/>
        <v>Medium Risk</v>
      </c>
      <c r="O345" s="2" t="b">
        <f>AND(OR($D345=T1_Region,T1_Region="All Regions"),OR($E345=T1_Income,T1_Income="All Income Groups"))</f>
        <v>1</v>
      </c>
    </row>
    <row r="346" ht="15.0" customHeight="1">
      <c r="A346" s="2" t="s">
        <v>83</v>
      </c>
      <c r="B346" s="2" t="s">
        <v>84</v>
      </c>
      <c r="C346" s="2">
        <v>2021.0</v>
      </c>
      <c r="D346" s="2" t="s">
        <v>45</v>
      </c>
      <c r="E346" s="2" t="s">
        <v>20</v>
      </c>
      <c r="F346" s="2">
        <v>52.64</v>
      </c>
      <c r="G346" s="2">
        <v>54.11</v>
      </c>
      <c r="H346" s="2">
        <v>60.98</v>
      </c>
      <c r="I346" s="2">
        <v>57.91</v>
      </c>
      <c r="J346" s="2">
        <v>56.41</v>
      </c>
      <c r="K346" s="2">
        <v>43.59</v>
      </c>
      <c r="L346" s="2" t="s">
        <v>29</v>
      </c>
      <c r="M346" s="2">
        <v>31920.77</v>
      </c>
      <c r="N346" s="2" t="str">
        <f t="shared" si="1"/>
        <v>Medium Risk</v>
      </c>
      <c r="O346" s="2" t="b">
        <f>AND(OR($D346=T1_Region,T1_Region="All Regions"),OR($E346=T1_Income,T1_Income="All Income Groups"))</f>
        <v>1</v>
      </c>
    </row>
    <row r="347" ht="15.0" customHeight="1">
      <c r="A347" s="2" t="s">
        <v>83</v>
      </c>
      <c r="B347" s="2" t="s">
        <v>84</v>
      </c>
      <c r="C347" s="2">
        <v>2022.0</v>
      </c>
      <c r="D347" s="2" t="s">
        <v>45</v>
      </c>
      <c r="E347" s="2" t="s">
        <v>20</v>
      </c>
      <c r="F347" s="2">
        <v>53.46</v>
      </c>
      <c r="G347" s="2">
        <v>57.64</v>
      </c>
      <c r="H347" s="2">
        <v>63.6</v>
      </c>
      <c r="I347" s="2">
        <v>59.71</v>
      </c>
      <c r="J347" s="2">
        <v>58.6</v>
      </c>
      <c r="K347" s="2">
        <v>41.4</v>
      </c>
      <c r="L347" s="2" t="s">
        <v>29</v>
      </c>
      <c r="M347" s="2">
        <v>38510.23</v>
      </c>
      <c r="N347" s="2" t="str">
        <f t="shared" si="1"/>
        <v>Medium Risk</v>
      </c>
      <c r="O347" s="2" t="b">
        <f>AND(OR($D347=T1_Region,T1_Region="All Regions"),OR($E347=T1_Income,T1_Income="All Income Groups"))</f>
        <v>1</v>
      </c>
    </row>
    <row r="348" ht="15.0" customHeight="1">
      <c r="A348" s="2" t="s">
        <v>83</v>
      </c>
      <c r="B348" s="2" t="s">
        <v>84</v>
      </c>
      <c r="C348" s="2">
        <v>2023.0</v>
      </c>
      <c r="D348" s="2" t="s">
        <v>45</v>
      </c>
      <c r="E348" s="2" t="s">
        <v>20</v>
      </c>
      <c r="F348" s="2">
        <v>57.51</v>
      </c>
      <c r="G348" s="2">
        <v>58.97</v>
      </c>
      <c r="H348" s="2">
        <v>64.49</v>
      </c>
      <c r="I348" s="2">
        <v>61.71</v>
      </c>
      <c r="J348" s="2">
        <v>60.67</v>
      </c>
      <c r="K348" s="2">
        <v>39.33</v>
      </c>
      <c r="L348" s="2" t="s">
        <v>97</v>
      </c>
      <c r="M348" s="2">
        <v>36156.86</v>
      </c>
      <c r="N348" s="2" t="str">
        <f t="shared" si="1"/>
        <v>Low Risk</v>
      </c>
      <c r="O348" s="2" t="b">
        <f>AND(OR($D348=T1_Region,T1_Region="All Regions"),OR($E348=T1_Income,T1_Income="All Income Groups"))</f>
        <v>1</v>
      </c>
    </row>
    <row r="349" ht="15.0" customHeight="1">
      <c r="A349" s="2" t="s">
        <v>83</v>
      </c>
      <c r="B349" s="2" t="s">
        <v>84</v>
      </c>
      <c r="C349" s="2">
        <v>2024.0</v>
      </c>
      <c r="D349" s="2" t="s">
        <v>45</v>
      </c>
      <c r="E349" s="2" t="s">
        <v>20</v>
      </c>
      <c r="F349" s="2">
        <v>63.09</v>
      </c>
      <c r="G349" s="2">
        <v>60.59</v>
      </c>
      <c r="H349" s="2">
        <v>66.06</v>
      </c>
      <c r="I349" s="2">
        <v>65.07</v>
      </c>
      <c r="J349" s="2">
        <v>63.7</v>
      </c>
      <c r="K349" s="2">
        <v>36.3</v>
      </c>
      <c r="L349" s="2" t="s">
        <v>97</v>
      </c>
      <c r="M349" s="2">
        <v>35527.79</v>
      </c>
      <c r="N349" s="2" t="str">
        <f t="shared" si="1"/>
        <v>Low Risk</v>
      </c>
      <c r="O349" s="2" t="b">
        <f>AND(OR($D349=T1_Region,T1_Region="All Regions"),OR($E349=T1_Income,T1_Income="All Income Groups"))</f>
        <v>1</v>
      </c>
    </row>
    <row r="350" ht="15.0" customHeight="1">
      <c r="A350" s="2" t="s">
        <v>85</v>
      </c>
      <c r="B350" s="2" t="s">
        <v>86</v>
      </c>
      <c r="C350" s="2">
        <v>2013.0</v>
      </c>
      <c r="D350" s="2" t="s">
        <v>41</v>
      </c>
      <c r="E350" s="2" t="s">
        <v>13</v>
      </c>
      <c r="F350" s="2">
        <v>47.18</v>
      </c>
      <c r="G350" s="2">
        <v>57.39</v>
      </c>
      <c r="H350" s="2">
        <v>64.72</v>
      </c>
      <c r="I350" s="2">
        <v>61.48</v>
      </c>
      <c r="J350" s="2">
        <v>57.69</v>
      </c>
      <c r="K350" s="2">
        <v>42.31</v>
      </c>
      <c r="L350" s="2" t="s">
        <v>29</v>
      </c>
      <c r="M350" s="2">
        <v>7331.65</v>
      </c>
      <c r="N350" s="2" t="str">
        <f t="shared" si="1"/>
        <v>Medium Risk</v>
      </c>
      <c r="O350" s="2" t="b">
        <f>AND(OR($D350=T1_Region,T1_Region="All Regions"),OR($E350=T1_Income,T1_Income="All Income Groups"))</f>
        <v>1</v>
      </c>
    </row>
    <row r="351" ht="15.0" customHeight="1">
      <c r="A351" s="2" t="s">
        <v>85</v>
      </c>
      <c r="B351" s="2" t="s">
        <v>86</v>
      </c>
      <c r="C351" s="2">
        <v>2014.0</v>
      </c>
      <c r="D351" s="2" t="s">
        <v>41</v>
      </c>
      <c r="E351" s="2" t="s">
        <v>13</v>
      </c>
      <c r="F351" s="2">
        <v>47.56</v>
      </c>
      <c r="G351" s="2">
        <v>58.18</v>
      </c>
      <c r="H351" s="2">
        <v>61.2</v>
      </c>
      <c r="I351" s="2">
        <v>61.95</v>
      </c>
      <c r="J351" s="2">
        <v>57.22</v>
      </c>
      <c r="K351" s="2">
        <v>42.78</v>
      </c>
      <c r="L351" s="2" t="s">
        <v>29</v>
      </c>
      <c r="M351" s="2">
        <v>6856.73</v>
      </c>
      <c r="N351" s="2" t="str">
        <f t="shared" si="1"/>
        <v>Medium Risk</v>
      </c>
      <c r="O351" s="2" t="b">
        <f>AND(OR($D351=T1_Region,T1_Region="All Regions"),OR($E351=T1_Income,T1_Income="All Income Groups"))</f>
        <v>1</v>
      </c>
    </row>
    <row r="352" ht="15.0" customHeight="1">
      <c r="A352" s="2" t="s">
        <v>85</v>
      </c>
      <c r="B352" s="2" t="s">
        <v>86</v>
      </c>
      <c r="C352" s="2">
        <v>2015.0</v>
      </c>
      <c r="D352" s="2" t="s">
        <v>41</v>
      </c>
      <c r="E352" s="2" t="s">
        <v>13</v>
      </c>
      <c r="F352" s="2">
        <v>48.09</v>
      </c>
      <c r="G352" s="2">
        <v>57.72</v>
      </c>
      <c r="H352" s="2">
        <v>59.51</v>
      </c>
      <c r="I352" s="2">
        <v>60.59</v>
      </c>
      <c r="J352" s="2">
        <v>56.48</v>
      </c>
      <c r="K352" s="2">
        <v>43.52</v>
      </c>
      <c r="L352" s="2" t="s">
        <v>29</v>
      </c>
      <c r="M352" s="2">
        <v>6112.27</v>
      </c>
      <c r="N352" s="2" t="str">
        <f t="shared" si="1"/>
        <v>Medium Risk</v>
      </c>
      <c r="O352" s="2" t="b">
        <f>AND(OR($D352=T1_Region,T1_Region="All Regions"),OR($E352=T1_Income,T1_Income="All Income Groups"))</f>
        <v>1</v>
      </c>
    </row>
    <row r="353" ht="15.0" customHeight="1">
      <c r="A353" s="2" t="s">
        <v>85</v>
      </c>
      <c r="B353" s="2" t="s">
        <v>86</v>
      </c>
      <c r="C353" s="2">
        <v>2016.0</v>
      </c>
      <c r="D353" s="2" t="s">
        <v>41</v>
      </c>
      <c r="E353" s="2" t="s">
        <v>13</v>
      </c>
      <c r="F353" s="2">
        <v>48.47</v>
      </c>
      <c r="G353" s="2">
        <v>58.17</v>
      </c>
      <c r="H353" s="2">
        <v>58.98</v>
      </c>
      <c r="I353" s="2">
        <v>60.12</v>
      </c>
      <c r="J353" s="2">
        <v>56.44</v>
      </c>
      <c r="K353" s="2">
        <v>43.56</v>
      </c>
      <c r="L353" s="2" t="s">
        <v>29</v>
      </c>
      <c r="M353" s="2">
        <v>5651.21</v>
      </c>
      <c r="N353" s="2" t="str">
        <f t="shared" si="1"/>
        <v>Medium Risk</v>
      </c>
      <c r="O353" s="2" t="b">
        <f>AND(OR($D353=T1_Region,T1_Region="All Regions"),OR($E353=T1_Income,T1_Income="All Income Groups"))</f>
        <v>1</v>
      </c>
    </row>
    <row r="354" ht="15.0" customHeight="1">
      <c r="A354" s="2" t="s">
        <v>85</v>
      </c>
      <c r="B354" s="2" t="s">
        <v>86</v>
      </c>
      <c r="C354" s="2">
        <v>2017.0</v>
      </c>
      <c r="D354" s="2" t="s">
        <v>41</v>
      </c>
      <c r="E354" s="2" t="s">
        <v>13</v>
      </c>
      <c r="F354" s="2">
        <v>46.24</v>
      </c>
      <c r="G354" s="2">
        <v>57.21</v>
      </c>
      <c r="H354" s="2">
        <v>58.49</v>
      </c>
      <c r="I354" s="2">
        <v>59.36</v>
      </c>
      <c r="J354" s="2">
        <v>55.32</v>
      </c>
      <c r="K354" s="2">
        <v>44.68</v>
      </c>
      <c r="L354" s="2" t="s">
        <v>29</v>
      </c>
      <c r="M354" s="2">
        <v>6618.34</v>
      </c>
      <c r="N354" s="2" t="str">
        <f t="shared" si="1"/>
        <v>Medium Risk</v>
      </c>
      <c r="O354" s="2" t="b">
        <f>AND(OR($D354=T1_Region,T1_Region="All Regions"),OR($E354=T1_Income,T1_Income="All Income Groups"))</f>
        <v>1</v>
      </c>
    </row>
    <row r="355" ht="15.0" customHeight="1">
      <c r="A355" s="2" t="s">
        <v>85</v>
      </c>
      <c r="B355" s="2" t="s">
        <v>86</v>
      </c>
      <c r="C355" s="2">
        <v>2018.0</v>
      </c>
      <c r="D355" s="2" t="s">
        <v>41</v>
      </c>
      <c r="E355" s="2" t="s">
        <v>13</v>
      </c>
      <c r="F355" s="2">
        <v>46.9</v>
      </c>
      <c r="G355" s="2">
        <v>55.79</v>
      </c>
      <c r="H355" s="2">
        <v>55.94</v>
      </c>
      <c r="I355" s="2">
        <v>60.78</v>
      </c>
      <c r="J355" s="2">
        <v>54.85</v>
      </c>
      <c r="K355" s="2">
        <v>45.15</v>
      </c>
      <c r="L355" s="2" t="s">
        <v>29</v>
      </c>
      <c r="M355" s="2">
        <v>6914.18</v>
      </c>
      <c r="N355" s="2" t="str">
        <f t="shared" si="1"/>
        <v>Medium Risk</v>
      </c>
      <c r="O355" s="2" t="b">
        <f>AND(OR($D355=T1_Region,T1_Region="All Regions"),OR($E355=T1_Income,T1_Income="All Income Groups"))</f>
        <v>1</v>
      </c>
    </row>
    <row r="356" ht="15.0" customHeight="1">
      <c r="A356" s="2" t="s">
        <v>85</v>
      </c>
      <c r="B356" s="2" t="s">
        <v>86</v>
      </c>
      <c r="C356" s="2">
        <v>2019.0</v>
      </c>
      <c r="D356" s="2" t="s">
        <v>41</v>
      </c>
      <c r="E356" s="2" t="s">
        <v>13</v>
      </c>
      <c r="F356" s="2">
        <v>48.56</v>
      </c>
      <c r="G356" s="2">
        <v>55.68</v>
      </c>
      <c r="H356" s="2">
        <v>56.74</v>
      </c>
      <c r="I356" s="2">
        <v>60.12</v>
      </c>
      <c r="J356" s="2">
        <v>55.27</v>
      </c>
      <c r="K356" s="2">
        <v>44.73</v>
      </c>
      <c r="L356" s="2" t="s">
        <v>29</v>
      </c>
      <c r="M356" s="2">
        <v>6533.71</v>
      </c>
      <c r="N356" s="2" t="str">
        <f t="shared" si="1"/>
        <v>Medium Risk</v>
      </c>
      <c r="O356" s="2" t="b">
        <f>AND(OR($D356=T1_Region,T1_Region="All Regions"),OR($E356=T1_Income,T1_Income="All Income Groups"))</f>
        <v>1</v>
      </c>
    </row>
    <row r="357" ht="15.0" customHeight="1">
      <c r="A357" s="2" t="s">
        <v>85</v>
      </c>
      <c r="B357" s="2" t="s">
        <v>86</v>
      </c>
      <c r="C357" s="2">
        <v>2020.0</v>
      </c>
      <c r="D357" s="2" t="s">
        <v>41</v>
      </c>
      <c r="E357" s="2" t="s">
        <v>13</v>
      </c>
      <c r="F357" s="2">
        <v>48.37</v>
      </c>
      <c r="G357" s="2">
        <v>55.91</v>
      </c>
      <c r="H357" s="2">
        <v>56.28</v>
      </c>
      <c r="I357" s="2">
        <v>61.64</v>
      </c>
      <c r="J357" s="2">
        <v>55.55</v>
      </c>
      <c r="K357" s="2">
        <v>44.45</v>
      </c>
      <c r="L357" s="2" t="s">
        <v>29</v>
      </c>
      <c r="M357" s="2">
        <v>5580.6</v>
      </c>
      <c r="N357" s="2" t="str">
        <f t="shared" si="1"/>
        <v>Medium Risk</v>
      </c>
      <c r="O357" s="2" t="b">
        <f>AND(OR($D357=T1_Region,T1_Region="All Regions"),OR($E357=T1_Income,T1_Income="All Income Groups"))</f>
        <v>1</v>
      </c>
    </row>
    <row r="358" ht="15.0" customHeight="1">
      <c r="A358" s="2" t="s">
        <v>85</v>
      </c>
      <c r="B358" s="2" t="s">
        <v>86</v>
      </c>
      <c r="C358" s="2">
        <v>2021.0</v>
      </c>
      <c r="D358" s="2" t="s">
        <v>41</v>
      </c>
      <c r="E358" s="2" t="s">
        <v>13</v>
      </c>
      <c r="F358" s="2">
        <v>49.16</v>
      </c>
      <c r="G358" s="2">
        <v>59.05</v>
      </c>
      <c r="H358" s="2">
        <v>55.14</v>
      </c>
      <c r="I358" s="2">
        <v>52.68</v>
      </c>
      <c r="J358" s="2">
        <v>54.01</v>
      </c>
      <c r="K358" s="2">
        <v>45.99</v>
      </c>
      <c r="L358" s="2" t="s">
        <v>29</v>
      </c>
      <c r="M358" s="2">
        <v>6828.76</v>
      </c>
      <c r="N358" s="2" t="str">
        <f t="shared" si="1"/>
        <v>Medium Risk</v>
      </c>
      <c r="O358" s="2" t="b">
        <f>AND(OR($D358=T1_Region,T1_Region="All Regions"),OR($E358=T1_Income,T1_Income="All Income Groups"))</f>
        <v>1</v>
      </c>
    </row>
    <row r="359" ht="15.0" customHeight="1">
      <c r="A359" s="2" t="s">
        <v>85</v>
      </c>
      <c r="B359" s="2" t="s">
        <v>86</v>
      </c>
      <c r="C359" s="2">
        <v>2022.0</v>
      </c>
      <c r="D359" s="2" t="s">
        <v>41</v>
      </c>
      <c r="E359" s="2" t="s">
        <v>13</v>
      </c>
      <c r="F359" s="2">
        <v>44.55</v>
      </c>
      <c r="G359" s="2">
        <v>57.55</v>
      </c>
      <c r="H359" s="2">
        <v>53.88</v>
      </c>
      <c r="I359" s="2">
        <v>54.21</v>
      </c>
      <c r="J359" s="2">
        <v>52.55</v>
      </c>
      <c r="K359" s="2">
        <v>47.45</v>
      </c>
      <c r="L359" s="2" t="s">
        <v>29</v>
      </c>
      <c r="M359" s="2">
        <v>6534.25</v>
      </c>
      <c r="N359" s="2" t="str">
        <f t="shared" si="1"/>
        <v>Medium Risk</v>
      </c>
      <c r="O359" s="2" t="b">
        <f>AND(OR($D359=T1_Region,T1_Region="All Regions"),OR($E359=T1_Income,T1_Income="All Income Groups"))</f>
        <v>1</v>
      </c>
    </row>
    <row r="360" ht="15.0" customHeight="1">
      <c r="A360" s="2" t="s">
        <v>85</v>
      </c>
      <c r="B360" s="2" t="s">
        <v>86</v>
      </c>
      <c r="C360" s="2">
        <v>2023.0</v>
      </c>
      <c r="D360" s="2" t="s">
        <v>41</v>
      </c>
      <c r="E360" s="2" t="s">
        <v>13</v>
      </c>
      <c r="F360" s="2">
        <v>43.61</v>
      </c>
      <c r="G360" s="2">
        <v>57.64</v>
      </c>
      <c r="H360" s="2">
        <v>53.88</v>
      </c>
      <c r="I360" s="2">
        <v>54.97</v>
      </c>
      <c r="J360" s="2">
        <v>52.53</v>
      </c>
      <c r="K360" s="2">
        <v>47.47</v>
      </c>
      <c r="L360" s="2" t="s">
        <v>29</v>
      </c>
      <c r="M360" s="2">
        <v>6034.27</v>
      </c>
      <c r="N360" s="2" t="str">
        <f t="shared" si="1"/>
        <v>Medium Risk</v>
      </c>
      <c r="O360" s="2" t="b">
        <f>AND(OR($D360=T1_Region,T1_Region="All Regions"),OR($E360=T1_Income,T1_Income="All Income Groups"))</f>
        <v>1</v>
      </c>
    </row>
    <row r="361" ht="15.0" customHeight="1">
      <c r="A361" s="2" t="s">
        <v>85</v>
      </c>
      <c r="B361" s="2" t="s">
        <v>86</v>
      </c>
      <c r="C361" s="2">
        <v>2024.0</v>
      </c>
      <c r="D361" s="2" t="s">
        <v>41</v>
      </c>
      <c r="E361" s="2" t="s">
        <v>13</v>
      </c>
      <c r="F361" s="2">
        <v>43.97</v>
      </c>
      <c r="G361" s="2">
        <v>57.27</v>
      </c>
      <c r="H361" s="2">
        <v>53.91</v>
      </c>
      <c r="I361" s="2">
        <v>55.35</v>
      </c>
      <c r="J361" s="2">
        <v>52.63</v>
      </c>
      <c r="K361" s="2">
        <v>47.37</v>
      </c>
      <c r="L361" s="2" t="s">
        <v>29</v>
      </c>
      <c r="M361" s="2">
        <v>6267.19</v>
      </c>
      <c r="N361" s="2" t="str">
        <f t="shared" si="1"/>
        <v>Medium Risk</v>
      </c>
      <c r="O361" s="2" t="b">
        <f>AND(OR($D361=T1_Region,T1_Region="All Regions"),OR($E361=T1_Income,T1_Income="All Income Groups"))</f>
        <v>1</v>
      </c>
    </row>
    <row r="362" ht="15.0" customHeight="1">
      <c r="A362" s="2" t="s">
        <v>87</v>
      </c>
      <c r="B362" s="2" t="s">
        <v>88</v>
      </c>
      <c r="C362" s="2">
        <v>2013.0</v>
      </c>
      <c r="D362" s="2" t="s">
        <v>25</v>
      </c>
      <c r="E362" s="2" t="s">
        <v>26</v>
      </c>
      <c r="F362" s="2">
        <v>41.57</v>
      </c>
      <c r="G362" s="2">
        <v>50.84</v>
      </c>
      <c r="H362" s="2">
        <v>53.66</v>
      </c>
      <c r="I362" s="2">
        <v>51.23</v>
      </c>
      <c r="J362" s="2">
        <v>49.32</v>
      </c>
      <c r="K362" s="2">
        <v>50.68</v>
      </c>
      <c r="L362" s="2" t="s">
        <v>29</v>
      </c>
      <c r="M362" s="2">
        <v>3739.43</v>
      </c>
      <c r="N362" s="2" t="str">
        <f t="shared" si="1"/>
        <v>Medium Risk</v>
      </c>
      <c r="O362" s="2" t="b">
        <f>AND(OR($D362=T1_Region,T1_Region="All Regions"),OR($E362=T1_Income,T1_Income="All Income Groups"))</f>
        <v>1</v>
      </c>
    </row>
    <row r="363" ht="15.0" customHeight="1">
      <c r="A363" s="2" t="s">
        <v>87</v>
      </c>
      <c r="B363" s="2" t="s">
        <v>88</v>
      </c>
      <c r="C363" s="2">
        <v>2014.0</v>
      </c>
      <c r="D363" s="2" t="s">
        <v>25</v>
      </c>
      <c r="E363" s="2" t="s">
        <v>26</v>
      </c>
      <c r="F363" s="2">
        <v>38.74</v>
      </c>
      <c r="G363" s="2">
        <v>50.76</v>
      </c>
      <c r="H363" s="2">
        <v>54.76</v>
      </c>
      <c r="I363" s="2">
        <v>56.44</v>
      </c>
      <c r="J363" s="2">
        <v>50.18</v>
      </c>
      <c r="K363" s="2">
        <v>49.82</v>
      </c>
      <c r="L363" s="2" t="s">
        <v>29</v>
      </c>
      <c r="M363" s="2">
        <v>3972.04</v>
      </c>
      <c r="N363" s="2" t="str">
        <f t="shared" si="1"/>
        <v>Medium Risk</v>
      </c>
      <c r="O363" s="2" t="b">
        <f>AND(OR($D363=T1_Region,T1_Region="All Regions"),OR($E363=T1_Income,T1_Income="All Income Groups"))</f>
        <v>1</v>
      </c>
    </row>
    <row r="364" ht="15.0" customHeight="1">
      <c r="A364" s="2" t="s">
        <v>87</v>
      </c>
      <c r="B364" s="2" t="s">
        <v>88</v>
      </c>
      <c r="C364" s="2">
        <v>2015.0</v>
      </c>
      <c r="D364" s="2" t="s">
        <v>25</v>
      </c>
      <c r="E364" s="2" t="s">
        <v>26</v>
      </c>
      <c r="F364" s="2">
        <v>40.95</v>
      </c>
      <c r="G364" s="2">
        <v>55.06</v>
      </c>
      <c r="H364" s="2">
        <v>55.35</v>
      </c>
      <c r="I364" s="2">
        <v>64.38</v>
      </c>
      <c r="J364" s="2">
        <v>53.93</v>
      </c>
      <c r="K364" s="2">
        <v>46.07</v>
      </c>
      <c r="L364" s="2" t="s">
        <v>29</v>
      </c>
      <c r="M364" s="2">
        <v>4057.72</v>
      </c>
      <c r="N364" s="2" t="str">
        <f t="shared" si="1"/>
        <v>Medium Risk</v>
      </c>
      <c r="O364" s="2" t="b">
        <f>AND(OR($D364=T1_Region,T1_Region="All Regions"),OR($E364=T1_Income,T1_Income="All Income Groups"))</f>
        <v>1</v>
      </c>
    </row>
    <row r="365" ht="15.0" customHeight="1">
      <c r="A365" s="2" t="s">
        <v>87</v>
      </c>
      <c r="B365" s="2" t="s">
        <v>88</v>
      </c>
      <c r="C365" s="2">
        <v>2016.0</v>
      </c>
      <c r="D365" s="2" t="s">
        <v>25</v>
      </c>
      <c r="E365" s="2" t="s">
        <v>26</v>
      </c>
      <c r="F365" s="2">
        <v>42.77</v>
      </c>
      <c r="G365" s="2">
        <v>55.13</v>
      </c>
      <c r="H365" s="2">
        <v>54.16</v>
      </c>
      <c r="I365" s="2">
        <v>63.44</v>
      </c>
      <c r="J365" s="2">
        <v>53.88</v>
      </c>
      <c r="K365" s="2">
        <v>46.12</v>
      </c>
      <c r="L365" s="2" t="s">
        <v>29</v>
      </c>
      <c r="M365" s="2">
        <v>4149.19</v>
      </c>
      <c r="N365" s="2" t="str">
        <f t="shared" si="1"/>
        <v>Medium Risk</v>
      </c>
      <c r="O365" s="2" t="b">
        <f>AND(OR($D365=T1_Region,T1_Region="All Regions"),OR($E365=T1_Income,T1_Income="All Income Groups"))</f>
        <v>1</v>
      </c>
    </row>
    <row r="366" ht="15.0" customHeight="1">
      <c r="A366" s="2" t="s">
        <v>87</v>
      </c>
      <c r="B366" s="2" t="s">
        <v>88</v>
      </c>
      <c r="C366" s="2">
        <v>2017.0</v>
      </c>
      <c r="D366" s="2" t="s">
        <v>25</v>
      </c>
      <c r="E366" s="2" t="s">
        <v>26</v>
      </c>
      <c r="F366" s="2">
        <v>41.62</v>
      </c>
      <c r="G366" s="2">
        <v>55.04</v>
      </c>
      <c r="H366" s="2">
        <v>53.02</v>
      </c>
      <c r="I366" s="2">
        <v>62.83</v>
      </c>
      <c r="J366" s="2">
        <v>53.13</v>
      </c>
      <c r="K366" s="2">
        <v>46.87</v>
      </c>
      <c r="L366" s="2" t="s">
        <v>29</v>
      </c>
      <c r="M366" s="2">
        <v>4398.89</v>
      </c>
      <c r="N366" s="2" t="str">
        <f t="shared" si="1"/>
        <v>Medium Risk</v>
      </c>
      <c r="O366" s="2" t="b">
        <f>AND(OR($D366=T1_Region,T1_Region="All Regions"),OR($E366=T1_Income,T1_Income="All Income Groups"))</f>
        <v>1</v>
      </c>
    </row>
    <row r="367" ht="15.0" customHeight="1">
      <c r="A367" s="2" t="s">
        <v>87</v>
      </c>
      <c r="B367" s="2" t="s">
        <v>88</v>
      </c>
      <c r="C367" s="2">
        <v>2018.0</v>
      </c>
      <c r="D367" s="2" t="s">
        <v>25</v>
      </c>
      <c r="E367" s="2" t="s">
        <v>26</v>
      </c>
      <c r="F367" s="2">
        <v>43.71</v>
      </c>
      <c r="G367" s="2">
        <v>55.97</v>
      </c>
      <c r="H367" s="2">
        <v>51.87</v>
      </c>
      <c r="I367" s="2">
        <v>61.46</v>
      </c>
      <c r="J367" s="2">
        <v>53.25</v>
      </c>
      <c r="K367" s="2">
        <v>46.75</v>
      </c>
      <c r="L367" s="2" t="s">
        <v>29</v>
      </c>
      <c r="M367" s="2">
        <v>4358.56</v>
      </c>
      <c r="N367" s="2" t="str">
        <f t="shared" si="1"/>
        <v>Medium Risk</v>
      </c>
      <c r="O367" s="2" t="b">
        <f>AND(OR($D367=T1_Region,T1_Region="All Regions"),OR($E367=T1_Income,T1_Income="All Income Groups"))</f>
        <v>1</v>
      </c>
    </row>
    <row r="368" ht="15.0" customHeight="1">
      <c r="A368" s="2" t="s">
        <v>87</v>
      </c>
      <c r="B368" s="2" t="s">
        <v>88</v>
      </c>
      <c r="C368" s="2">
        <v>2019.0</v>
      </c>
      <c r="D368" s="2" t="s">
        <v>25</v>
      </c>
      <c r="E368" s="2" t="s">
        <v>26</v>
      </c>
      <c r="F368" s="2">
        <v>44.54</v>
      </c>
      <c r="G368" s="2">
        <v>55.62</v>
      </c>
      <c r="H368" s="2">
        <v>51.93</v>
      </c>
      <c r="I368" s="2">
        <v>62.93</v>
      </c>
      <c r="J368" s="2">
        <v>53.75</v>
      </c>
      <c r="K368" s="2">
        <v>46.25</v>
      </c>
      <c r="L368" s="2" t="s">
        <v>29</v>
      </c>
      <c r="M368" s="2">
        <v>4081.95</v>
      </c>
      <c r="N368" s="2" t="str">
        <f t="shared" si="1"/>
        <v>Medium Risk</v>
      </c>
      <c r="O368" s="2" t="b">
        <f>AND(OR($D368=T1_Region,T1_Region="All Regions"),OR($E368=T1_Income,T1_Income="All Income Groups"))</f>
        <v>1</v>
      </c>
    </row>
    <row r="369" ht="15.0" customHeight="1">
      <c r="A369" s="2" t="s">
        <v>87</v>
      </c>
      <c r="B369" s="2" t="s">
        <v>88</v>
      </c>
      <c r="C369" s="2">
        <v>2020.0</v>
      </c>
      <c r="D369" s="2" t="s">
        <v>25</v>
      </c>
      <c r="E369" s="2" t="s">
        <v>26</v>
      </c>
      <c r="F369" s="2">
        <v>42.27</v>
      </c>
      <c r="G369" s="2">
        <v>53.68</v>
      </c>
      <c r="H369" s="2">
        <v>53.09</v>
      </c>
      <c r="I369" s="2">
        <v>63.92</v>
      </c>
      <c r="J369" s="2">
        <v>53.24</v>
      </c>
      <c r="K369" s="2">
        <v>46.76</v>
      </c>
      <c r="L369" s="2" t="s">
        <v>29</v>
      </c>
      <c r="M369" s="2">
        <v>3847.6</v>
      </c>
      <c r="N369" s="2" t="str">
        <f t="shared" si="1"/>
        <v>Medium Risk</v>
      </c>
      <c r="O369" s="2" t="b">
        <f>AND(OR($D369=T1_Region,T1_Region="All Regions"),OR($E369=T1_Income,T1_Income="All Income Groups"))</f>
        <v>1</v>
      </c>
    </row>
    <row r="370" ht="15.0" customHeight="1">
      <c r="A370" s="2" t="s">
        <v>87</v>
      </c>
      <c r="B370" s="2" t="s">
        <v>88</v>
      </c>
      <c r="C370" s="2">
        <v>2021.0</v>
      </c>
      <c r="D370" s="2" t="s">
        <v>25</v>
      </c>
      <c r="E370" s="2" t="s">
        <v>26</v>
      </c>
      <c r="F370" s="2">
        <v>41.04</v>
      </c>
      <c r="G370" s="2">
        <v>52.98</v>
      </c>
      <c r="H370" s="2">
        <v>52.29</v>
      </c>
      <c r="I370" s="2">
        <v>57.17</v>
      </c>
      <c r="J370" s="2">
        <v>50.87</v>
      </c>
      <c r="K370" s="2">
        <v>49.13</v>
      </c>
      <c r="L370" s="2" t="s">
        <v>29</v>
      </c>
      <c r="M370" s="2">
        <v>3996.96</v>
      </c>
      <c r="N370" s="2" t="str">
        <f t="shared" si="1"/>
        <v>Medium Risk</v>
      </c>
      <c r="O370" s="2" t="b">
        <f>AND(OR($D370=T1_Region,T1_Region="All Regions"),OR($E370=T1_Income,T1_Income="All Income Groups"))</f>
        <v>1</v>
      </c>
    </row>
    <row r="371" ht="15.0" customHeight="1">
      <c r="A371" s="2" t="s">
        <v>87</v>
      </c>
      <c r="B371" s="2" t="s">
        <v>88</v>
      </c>
      <c r="C371" s="2">
        <v>2022.0</v>
      </c>
      <c r="D371" s="2" t="s">
        <v>25</v>
      </c>
      <c r="E371" s="2" t="s">
        <v>26</v>
      </c>
      <c r="F371" s="2">
        <v>40.7</v>
      </c>
      <c r="G371" s="2">
        <v>51.29</v>
      </c>
      <c r="H371" s="2">
        <v>47.66</v>
      </c>
      <c r="I371" s="2">
        <v>52.88</v>
      </c>
      <c r="J371" s="2">
        <v>48.13</v>
      </c>
      <c r="K371" s="2">
        <v>51.87</v>
      </c>
      <c r="L371" s="2" t="s">
        <v>29</v>
      </c>
      <c r="M371" s="2">
        <v>3342.64</v>
      </c>
      <c r="N371" s="2" t="str">
        <f t="shared" si="1"/>
        <v>Medium Risk</v>
      </c>
      <c r="O371" s="2" t="b">
        <f>AND(OR($D371=T1_Region,T1_Region="All Regions"),OR($E371=T1_Income,T1_Income="All Income Groups"))</f>
        <v>1</v>
      </c>
    </row>
    <row r="372" ht="15.0" customHeight="1">
      <c r="A372" s="2" t="s">
        <v>87</v>
      </c>
      <c r="B372" s="2" t="s">
        <v>88</v>
      </c>
      <c r="C372" s="2">
        <v>2023.0</v>
      </c>
      <c r="D372" s="2" t="s">
        <v>25</v>
      </c>
      <c r="E372" s="2" t="s">
        <v>26</v>
      </c>
      <c r="F372" s="2">
        <v>40.02</v>
      </c>
      <c r="G372" s="2">
        <v>51.53</v>
      </c>
      <c r="H372" s="2">
        <v>48.87</v>
      </c>
      <c r="I372" s="2">
        <v>54.45</v>
      </c>
      <c r="J372" s="2">
        <v>48.72</v>
      </c>
      <c r="K372" s="2">
        <v>51.28</v>
      </c>
      <c r="L372" s="2" t="s">
        <v>29</v>
      </c>
      <c r="M372" s="2">
        <v>3815.42</v>
      </c>
      <c r="N372" s="2" t="str">
        <f t="shared" si="1"/>
        <v>Medium Risk</v>
      </c>
      <c r="O372" s="2" t="b">
        <f>AND(OR($D372=T1_Region,T1_Region="All Regions"),OR($E372=T1_Income,T1_Income="All Income Groups"))</f>
        <v>1</v>
      </c>
    </row>
    <row r="373" ht="15.0" customHeight="1">
      <c r="A373" s="2" t="s">
        <v>87</v>
      </c>
      <c r="B373" s="2" t="s">
        <v>88</v>
      </c>
      <c r="C373" s="2">
        <v>2024.0</v>
      </c>
      <c r="D373" s="2" t="s">
        <v>25</v>
      </c>
      <c r="E373" s="2" t="s">
        <v>26</v>
      </c>
      <c r="F373" s="2">
        <v>40.07</v>
      </c>
      <c r="G373" s="2">
        <v>52.53</v>
      </c>
      <c r="H373" s="2">
        <v>50.14</v>
      </c>
      <c r="I373" s="2">
        <v>59.91</v>
      </c>
      <c r="J373" s="2">
        <v>50.66</v>
      </c>
      <c r="K373" s="2">
        <v>49.34</v>
      </c>
      <c r="L373" s="2" t="s">
        <v>29</v>
      </c>
      <c r="M373" s="2">
        <v>4545.36</v>
      </c>
      <c r="N373" s="2" t="str">
        <f t="shared" si="1"/>
        <v>Medium Risk</v>
      </c>
      <c r="O373" s="2" t="b">
        <f>AND(OR($D373=T1_Region,T1_Region="All Regions"),OR($E373=T1_Income,T1_Income="All Income Groups"))</f>
        <v>1</v>
      </c>
    </row>
    <row r="374" ht="15.0" customHeight="1">
      <c r="A374" s="2" t="s">
        <v>89</v>
      </c>
      <c r="B374" s="2" t="s">
        <v>90</v>
      </c>
      <c r="C374" s="2">
        <v>2013.0</v>
      </c>
      <c r="D374" s="2" t="s">
        <v>50</v>
      </c>
      <c r="E374" s="2" t="s">
        <v>13</v>
      </c>
      <c r="F374" s="2">
        <v>50.69</v>
      </c>
      <c r="G374" s="2">
        <v>54.99</v>
      </c>
      <c r="H374" s="2">
        <v>62.42</v>
      </c>
      <c r="I374" s="2">
        <v>48.26</v>
      </c>
      <c r="J374" s="2">
        <v>54.09</v>
      </c>
      <c r="K374" s="2">
        <v>45.91</v>
      </c>
      <c r="L374" s="2" t="s">
        <v>29</v>
      </c>
      <c r="M374" s="2">
        <v>12635.56</v>
      </c>
      <c r="N374" s="2" t="str">
        <f t="shared" si="1"/>
        <v>Medium Risk</v>
      </c>
      <c r="O374" s="2" t="b">
        <f>AND(OR($D374=T1_Region,T1_Region="All Regions"),OR($E374=T1_Income,T1_Income="All Income Groups"))</f>
        <v>1</v>
      </c>
    </row>
    <row r="375" ht="15.0" customHeight="1">
      <c r="A375" s="2" t="s">
        <v>89</v>
      </c>
      <c r="B375" s="2" t="s">
        <v>90</v>
      </c>
      <c r="C375" s="2">
        <v>2014.0</v>
      </c>
      <c r="D375" s="2" t="s">
        <v>50</v>
      </c>
      <c r="E375" s="2" t="s">
        <v>13</v>
      </c>
      <c r="F375" s="2">
        <v>45.65</v>
      </c>
      <c r="G375" s="2">
        <v>50.75</v>
      </c>
      <c r="H375" s="2">
        <v>60.68</v>
      </c>
      <c r="I375" s="2">
        <v>52.23</v>
      </c>
      <c r="J375" s="2">
        <v>52.33</v>
      </c>
      <c r="K375" s="2">
        <v>47.67</v>
      </c>
      <c r="L375" s="2" t="s">
        <v>29</v>
      </c>
      <c r="M375" s="2">
        <v>12209.39</v>
      </c>
      <c r="N375" s="2" t="str">
        <f t="shared" si="1"/>
        <v>Medium Risk</v>
      </c>
      <c r="O375" s="2" t="b">
        <f>AND(OR($D375=T1_Region,T1_Region="All Regions"),OR($E375=T1_Income,T1_Income="All Income Groups"))</f>
        <v>1</v>
      </c>
    </row>
    <row r="376" ht="15.0" customHeight="1">
      <c r="A376" s="2" t="s">
        <v>89</v>
      </c>
      <c r="B376" s="2" t="s">
        <v>90</v>
      </c>
      <c r="C376" s="2">
        <v>2015.0</v>
      </c>
      <c r="D376" s="2" t="s">
        <v>50</v>
      </c>
      <c r="E376" s="2" t="s">
        <v>13</v>
      </c>
      <c r="F376" s="2">
        <v>45.7</v>
      </c>
      <c r="G376" s="2">
        <v>48.75</v>
      </c>
      <c r="H376" s="2">
        <v>58.29</v>
      </c>
      <c r="I376" s="2">
        <v>46.94</v>
      </c>
      <c r="J376" s="2">
        <v>49.92</v>
      </c>
      <c r="K376" s="2">
        <v>50.08</v>
      </c>
      <c r="L376" s="2" t="s">
        <v>29</v>
      </c>
      <c r="M376" s="2">
        <v>11064.65</v>
      </c>
      <c r="N376" s="2" t="str">
        <f t="shared" si="1"/>
        <v>Medium Risk</v>
      </c>
      <c r="O376" s="2" t="b">
        <f>AND(OR($D376=T1_Region,T1_Region="All Regions"),OR($E376=T1_Income,T1_Income="All Income Groups"))</f>
        <v>1</v>
      </c>
    </row>
    <row r="377" ht="15.0" customHeight="1">
      <c r="A377" s="2" t="s">
        <v>89</v>
      </c>
      <c r="B377" s="2" t="s">
        <v>90</v>
      </c>
      <c r="C377" s="2">
        <v>2016.0</v>
      </c>
      <c r="D377" s="2" t="s">
        <v>50</v>
      </c>
      <c r="E377" s="2" t="s">
        <v>13</v>
      </c>
      <c r="F377" s="2">
        <v>46.14</v>
      </c>
      <c r="G377" s="2">
        <v>47.57</v>
      </c>
      <c r="H377" s="2">
        <v>57.3</v>
      </c>
      <c r="I377" s="2">
        <v>35.49</v>
      </c>
      <c r="J377" s="2">
        <v>46.62</v>
      </c>
      <c r="K377" s="2">
        <v>53.38</v>
      </c>
      <c r="L377" s="2" t="s">
        <v>29</v>
      </c>
      <c r="M377" s="2">
        <v>10984.36</v>
      </c>
      <c r="N377" s="2" t="str">
        <f t="shared" si="1"/>
        <v>Medium Risk</v>
      </c>
      <c r="O377" s="2" t="b">
        <f>AND(OR($D377=T1_Region,T1_Region="All Regions"),OR($E377=T1_Income,T1_Income="All Income Groups"))</f>
        <v>1</v>
      </c>
    </row>
    <row r="378" ht="15.0" customHeight="1">
      <c r="A378" s="2" t="s">
        <v>89</v>
      </c>
      <c r="B378" s="2" t="s">
        <v>90</v>
      </c>
      <c r="C378" s="2">
        <v>2017.0</v>
      </c>
      <c r="D378" s="2" t="s">
        <v>50</v>
      </c>
      <c r="E378" s="2" t="s">
        <v>13</v>
      </c>
      <c r="F378" s="2">
        <v>46.51</v>
      </c>
      <c r="G378" s="2">
        <v>46.37</v>
      </c>
      <c r="H378" s="2">
        <v>57.13</v>
      </c>
      <c r="I378" s="2">
        <v>36.75</v>
      </c>
      <c r="J378" s="2">
        <v>46.69</v>
      </c>
      <c r="K378" s="2">
        <v>53.31</v>
      </c>
      <c r="L378" s="2" t="s">
        <v>29</v>
      </c>
      <c r="M378" s="2">
        <v>10756.39</v>
      </c>
      <c r="N378" s="2" t="str">
        <f t="shared" si="1"/>
        <v>Medium Risk</v>
      </c>
      <c r="O378" s="2" t="b">
        <f>AND(OR($D378=T1_Region,T1_Region="All Regions"),OR($E378=T1_Income,T1_Income="All Income Groups"))</f>
        <v>1</v>
      </c>
    </row>
    <row r="379" ht="15.0" customHeight="1">
      <c r="A379" s="2" t="s">
        <v>89</v>
      </c>
      <c r="B379" s="2" t="s">
        <v>90</v>
      </c>
      <c r="C379" s="2">
        <v>2018.0</v>
      </c>
      <c r="D379" s="2" t="s">
        <v>50</v>
      </c>
      <c r="E379" s="2" t="s">
        <v>13</v>
      </c>
      <c r="F379" s="2">
        <v>43.16</v>
      </c>
      <c r="G379" s="2">
        <v>44.76</v>
      </c>
      <c r="H379" s="2">
        <v>55.68</v>
      </c>
      <c r="I379" s="2">
        <v>46.69</v>
      </c>
      <c r="J379" s="2">
        <v>47.57</v>
      </c>
      <c r="K379" s="2">
        <v>52.43</v>
      </c>
      <c r="L379" s="2" t="s">
        <v>29</v>
      </c>
      <c r="M379" s="2">
        <v>9684.12</v>
      </c>
      <c r="N379" s="2" t="str">
        <f t="shared" si="1"/>
        <v>Medium Risk</v>
      </c>
      <c r="O379" s="2" t="b">
        <f>AND(OR($D379=T1_Region,T1_Region="All Regions"),OR($E379=T1_Income,T1_Income="All Income Groups"))</f>
        <v>1</v>
      </c>
    </row>
    <row r="380" ht="15.0" customHeight="1">
      <c r="A380" s="2" t="s">
        <v>89</v>
      </c>
      <c r="B380" s="2" t="s">
        <v>90</v>
      </c>
      <c r="C380" s="2">
        <v>2019.0</v>
      </c>
      <c r="D380" s="2" t="s">
        <v>50</v>
      </c>
      <c r="E380" s="2" t="s">
        <v>13</v>
      </c>
      <c r="F380" s="2">
        <v>44.21</v>
      </c>
      <c r="G380" s="2">
        <v>46.69</v>
      </c>
      <c r="H380" s="2">
        <v>54.61</v>
      </c>
      <c r="I380" s="2">
        <v>45.53</v>
      </c>
      <c r="J380" s="2">
        <v>47.76</v>
      </c>
      <c r="K380" s="2">
        <v>52.24</v>
      </c>
      <c r="L380" s="2" t="s">
        <v>29</v>
      </c>
      <c r="M380" s="2">
        <v>9395.23</v>
      </c>
      <c r="N380" s="2" t="str">
        <f t="shared" si="1"/>
        <v>Medium Risk</v>
      </c>
      <c r="O380" s="2" t="b">
        <f>AND(OR($D380=T1_Region,T1_Region="All Regions"),OR($E380=T1_Income,T1_Income="All Income Groups"))</f>
        <v>1</v>
      </c>
    </row>
    <row r="381" ht="15.0" customHeight="1">
      <c r="A381" s="2" t="s">
        <v>89</v>
      </c>
      <c r="B381" s="2" t="s">
        <v>90</v>
      </c>
      <c r="C381" s="2">
        <v>2020.0</v>
      </c>
      <c r="D381" s="2" t="s">
        <v>50</v>
      </c>
      <c r="E381" s="2" t="s">
        <v>13</v>
      </c>
      <c r="F381" s="2">
        <v>41.29</v>
      </c>
      <c r="G381" s="2">
        <v>44.75</v>
      </c>
      <c r="H381" s="2">
        <v>52.26</v>
      </c>
      <c r="I381" s="2">
        <v>48.14</v>
      </c>
      <c r="J381" s="2">
        <v>46.61</v>
      </c>
      <c r="K381" s="2">
        <v>53.39</v>
      </c>
      <c r="L381" s="2" t="s">
        <v>29</v>
      </c>
      <c r="M381" s="2">
        <v>8798.12</v>
      </c>
      <c r="N381" s="2" t="str">
        <f t="shared" si="1"/>
        <v>Medium Risk</v>
      </c>
      <c r="O381" s="2" t="b">
        <f>AND(OR($D381=T1_Region,T1_Region="All Regions"),OR($E381=T1_Income,T1_Income="All Income Groups"))</f>
        <v>1</v>
      </c>
    </row>
    <row r="382" ht="15.0" customHeight="1">
      <c r="A382" s="2" t="s">
        <v>89</v>
      </c>
      <c r="B382" s="2" t="s">
        <v>90</v>
      </c>
      <c r="C382" s="2">
        <v>2021.0</v>
      </c>
      <c r="D382" s="2" t="s">
        <v>50</v>
      </c>
      <c r="E382" s="2" t="s">
        <v>13</v>
      </c>
      <c r="F382" s="2">
        <v>39.77</v>
      </c>
      <c r="G382" s="2">
        <v>43.62</v>
      </c>
      <c r="H382" s="2">
        <v>52.92</v>
      </c>
      <c r="I382" s="2">
        <v>49.29</v>
      </c>
      <c r="J382" s="2">
        <v>46.4</v>
      </c>
      <c r="K382" s="2">
        <v>53.6</v>
      </c>
      <c r="L382" s="2" t="s">
        <v>29</v>
      </c>
      <c r="M382" s="2">
        <v>9981.76</v>
      </c>
      <c r="N382" s="2" t="str">
        <f t="shared" si="1"/>
        <v>Medium Risk</v>
      </c>
      <c r="O382" s="2" t="b">
        <f>AND(OR($D382=T1_Region,T1_Region="All Regions"),OR($E382=T1_Income,T1_Income="All Income Groups"))</f>
        <v>1</v>
      </c>
    </row>
    <row r="383" ht="15.0" customHeight="1">
      <c r="A383" s="2" t="s">
        <v>89</v>
      </c>
      <c r="B383" s="2" t="s">
        <v>90</v>
      </c>
      <c r="C383" s="2">
        <v>2022.0</v>
      </c>
      <c r="D383" s="2" t="s">
        <v>50</v>
      </c>
      <c r="E383" s="2" t="s">
        <v>13</v>
      </c>
      <c r="F383" s="2">
        <v>39.1</v>
      </c>
      <c r="G383" s="2">
        <v>43.54</v>
      </c>
      <c r="H383" s="2">
        <v>51.25</v>
      </c>
      <c r="I383" s="2">
        <v>49.92</v>
      </c>
      <c r="J383" s="2">
        <v>45.95</v>
      </c>
      <c r="K383" s="2">
        <v>54.05</v>
      </c>
      <c r="L383" s="2" t="s">
        <v>29</v>
      </c>
      <c r="M383" s="2">
        <v>10897.84</v>
      </c>
      <c r="N383" s="2" t="str">
        <f t="shared" si="1"/>
        <v>Medium Risk</v>
      </c>
      <c r="O383" s="2" t="b">
        <f>AND(OR($D383=T1_Region,T1_Region="All Regions"),OR($E383=T1_Income,T1_Income="All Income Groups"))</f>
        <v>1</v>
      </c>
    </row>
    <row r="384" ht="15.0" customHeight="1">
      <c r="A384" s="2" t="s">
        <v>89</v>
      </c>
      <c r="B384" s="2" t="s">
        <v>90</v>
      </c>
      <c r="C384" s="2">
        <v>2023.0</v>
      </c>
      <c r="D384" s="2" t="s">
        <v>50</v>
      </c>
      <c r="E384" s="2" t="s">
        <v>13</v>
      </c>
      <c r="F384" s="2">
        <v>39.0</v>
      </c>
      <c r="G384" s="2">
        <v>43.21</v>
      </c>
      <c r="H384" s="2">
        <v>51.54</v>
      </c>
      <c r="I384" s="2">
        <v>50.79</v>
      </c>
      <c r="J384" s="2">
        <v>46.13</v>
      </c>
      <c r="K384" s="2">
        <v>53.87</v>
      </c>
      <c r="L384" s="2" t="s">
        <v>29</v>
      </c>
      <c r="M384" s="2">
        <v>13375.09</v>
      </c>
      <c r="N384" s="2" t="str">
        <f t="shared" si="1"/>
        <v>Medium Risk</v>
      </c>
      <c r="O384" s="2" t="b">
        <f>AND(OR($D384=T1_Region,T1_Region="All Regions"),OR($E384=T1_Income,T1_Income="All Income Groups"))</f>
        <v>1</v>
      </c>
    </row>
    <row r="385" ht="15.0" customHeight="1">
      <c r="A385" s="2" t="s">
        <v>89</v>
      </c>
      <c r="B385" s="2" t="s">
        <v>90</v>
      </c>
      <c r="C385" s="2">
        <v>2024.0</v>
      </c>
      <c r="D385" s="2" t="s">
        <v>50</v>
      </c>
      <c r="E385" s="2" t="s">
        <v>13</v>
      </c>
      <c r="F385" s="2">
        <v>36.45</v>
      </c>
      <c r="G385" s="2">
        <v>42.45</v>
      </c>
      <c r="H385" s="2">
        <v>51.53</v>
      </c>
      <c r="I385" s="2">
        <v>49.31</v>
      </c>
      <c r="J385" s="2">
        <v>44.94</v>
      </c>
      <c r="K385" s="2">
        <v>55.06</v>
      </c>
      <c r="L385" s="2" t="s">
        <v>29</v>
      </c>
      <c r="M385" s="2">
        <v>15892.72</v>
      </c>
      <c r="N385" s="2" t="str">
        <f t="shared" si="1"/>
        <v>Medium Risk</v>
      </c>
      <c r="O385" s="2" t="b">
        <f>AND(OR($D385=T1_Region,T1_Region="All Regions"),OR($E385=T1_Income,T1_Income="All Income Groups"))</f>
        <v>1</v>
      </c>
    </row>
    <row r="386" ht="15.0" customHeight="1">
      <c r="A386" s="2" t="s">
        <v>91</v>
      </c>
      <c r="B386" s="2" t="s">
        <v>92</v>
      </c>
      <c r="C386" s="2">
        <v>2013.0</v>
      </c>
      <c r="D386" s="2" t="s">
        <v>45</v>
      </c>
      <c r="E386" s="2" t="s">
        <v>20</v>
      </c>
      <c r="F386" s="2">
        <v>71.16</v>
      </c>
      <c r="G386" s="2">
        <v>64.09</v>
      </c>
      <c r="H386" s="2">
        <v>70.48</v>
      </c>
      <c r="I386" s="2">
        <v>79.11</v>
      </c>
      <c r="J386" s="2">
        <v>71.21</v>
      </c>
      <c r="K386" s="2">
        <v>28.79</v>
      </c>
      <c r="L386" s="2" t="s">
        <v>97</v>
      </c>
      <c r="M386" s="2">
        <v>53247.23</v>
      </c>
      <c r="N386" s="2" t="str">
        <f t="shared" si="1"/>
        <v>Low Risk</v>
      </c>
      <c r="O386" s="2" t="b">
        <f>AND(OR($D386=T1_Region,T1_Region="All Regions"),OR($E386=T1_Income,T1_Income="All Income Groups"))</f>
        <v>1</v>
      </c>
    </row>
    <row r="387" ht="15.0" customHeight="1">
      <c r="A387" s="2" t="s">
        <v>91</v>
      </c>
      <c r="B387" s="2" t="s">
        <v>92</v>
      </c>
      <c r="C387" s="2">
        <v>2014.0</v>
      </c>
      <c r="D387" s="2" t="s">
        <v>45</v>
      </c>
      <c r="E387" s="2" t="s">
        <v>20</v>
      </c>
      <c r="F387" s="2">
        <v>67.81</v>
      </c>
      <c r="G387" s="2">
        <v>62.99</v>
      </c>
      <c r="H387" s="2">
        <v>71.8</v>
      </c>
      <c r="I387" s="2">
        <v>81.24</v>
      </c>
      <c r="J387" s="2">
        <v>70.96</v>
      </c>
      <c r="K387" s="2">
        <v>29.04</v>
      </c>
      <c r="L387" s="2" t="s">
        <v>97</v>
      </c>
      <c r="M387" s="2">
        <v>52725.23</v>
      </c>
      <c r="N387" s="2" t="str">
        <f t="shared" si="1"/>
        <v>Low Risk</v>
      </c>
      <c r="O387" s="2" t="b">
        <f>AND(OR($D387=T1_Region,T1_Region="All Regions"),OR($E387=T1_Income,T1_Income="All Income Groups"))</f>
        <v>1</v>
      </c>
    </row>
    <row r="388" ht="15.0" customHeight="1">
      <c r="A388" s="2" t="s">
        <v>91</v>
      </c>
      <c r="B388" s="2" t="s">
        <v>92</v>
      </c>
      <c r="C388" s="2">
        <v>2015.0</v>
      </c>
      <c r="D388" s="2" t="s">
        <v>45</v>
      </c>
      <c r="E388" s="2" t="s">
        <v>20</v>
      </c>
      <c r="F388" s="2">
        <v>66.48</v>
      </c>
      <c r="G388" s="2">
        <v>63.01</v>
      </c>
      <c r="H388" s="2">
        <v>73.45</v>
      </c>
      <c r="I388" s="2">
        <v>80.21</v>
      </c>
      <c r="J388" s="2">
        <v>70.79</v>
      </c>
      <c r="K388" s="2">
        <v>29.21</v>
      </c>
      <c r="L388" s="2" t="s">
        <v>97</v>
      </c>
      <c r="M388" s="2">
        <v>44910.35</v>
      </c>
      <c r="N388" s="2" t="str">
        <f t="shared" si="1"/>
        <v>Low Risk</v>
      </c>
      <c r="O388" s="2" t="b">
        <f>AND(OR($D388=T1_Region,T1_Region="All Regions"),OR($E388=T1_Income,T1_Income="All Income Groups"))</f>
        <v>1</v>
      </c>
    </row>
    <row r="389" ht="15.0" customHeight="1">
      <c r="A389" s="2" t="s">
        <v>91</v>
      </c>
      <c r="B389" s="2" t="s">
        <v>92</v>
      </c>
      <c r="C389" s="2">
        <v>2016.0</v>
      </c>
      <c r="D389" s="2" t="s">
        <v>45</v>
      </c>
      <c r="E389" s="2" t="s">
        <v>20</v>
      </c>
      <c r="F389" s="2">
        <v>70.25</v>
      </c>
      <c r="G389" s="2">
        <v>64.2</v>
      </c>
      <c r="H389" s="2">
        <v>71.87</v>
      </c>
      <c r="I389" s="2">
        <v>77.73</v>
      </c>
      <c r="J389" s="2">
        <v>71.01</v>
      </c>
      <c r="K389" s="2">
        <v>28.99</v>
      </c>
      <c r="L389" s="2" t="s">
        <v>97</v>
      </c>
      <c r="M389" s="2">
        <v>42721.11</v>
      </c>
      <c r="N389" s="2" t="str">
        <f t="shared" si="1"/>
        <v>Low Risk</v>
      </c>
      <c r="O389" s="2" t="b">
        <f>AND(OR($D389=T1_Region,T1_Region="All Regions"),OR($E389=T1_Income,T1_Income="All Income Groups"))</f>
        <v>1</v>
      </c>
    </row>
    <row r="390" ht="15.0" customHeight="1">
      <c r="A390" s="2" t="s">
        <v>91</v>
      </c>
      <c r="B390" s="2" t="s">
        <v>92</v>
      </c>
      <c r="C390" s="2">
        <v>2017.0</v>
      </c>
      <c r="D390" s="2" t="s">
        <v>45</v>
      </c>
      <c r="E390" s="2" t="s">
        <v>20</v>
      </c>
      <c r="F390" s="2">
        <v>69.64</v>
      </c>
      <c r="G390" s="2">
        <v>63.56</v>
      </c>
      <c r="H390" s="2">
        <v>72.39</v>
      </c>
      <c r="I390" s="2">
        <v>78.18</v>
      </c>
      <c r="J390" s="2">
        <v>70.94</v>
      </c>
      <c r="K390" s="2">
        <v>29.06</v>
      </c>
      <c r="L390" s="2" t="s">
        <v>97</v>
      </c>
      <c r="M390" s="2">
        <v>43733.62</v>
      </c>
      <c r="N390" s="2" t="str">
        <f t="shared" si="1"/>
        <v>Low Risk</v>
      </c>
      <c r="O390" s="2" t="b">
        <f>AND(OR($D390=T1_Region,T1_Region="All Regions"),OR($E390=T1_Income,T1_Income="All Income Groups"))</f>
        <v>1</v>
      </c>
    </row>
    <row r="391" ht="15.0" customHeight="1">
      <c r="A391" s="2" t="s">
        <v>91</v>
      </c>
      <c r="B391" s="2" t="s">
        <v>92</v>
      </c>
      <c r="C391" s="2">
        <v>2018.0</v>
      </c>
      <c r="D391" s="2" t="s">
        <v>45</v>
      </c>
      <c r="E391" s="2" t="s">
        <v>20</v>
      </c>
      <c r="F391" s="2">
        <v>70.02</v>
      </c>
      <c r="G391" s="2">
        <v>63.67</v>
      </c>
      <c r="H391" s="2">
        <v>71.88</v>
      </c>
      <c r="I391" s="2">
        <v>80.13</v>
      </c>
      <c r="J391" s="2">
        <v>71.42</v>
      </c>
      <c r="K391" s="2">
        <v>28.58</v>
      </c>
      <c r="L391" s="2" t="s">
        <v>97</v>
      </c>
      <c r="M391" s="2">
        <v>47135.35</v>
      </c>
      <c r="N391" s="2" t="str">
        <f t="shared" si="1"/>
        <v>Low Risk</v>
      </c>
      <c r="O391" s="2" t="b">
        <f>AND(OR($D391=T1_Region,T1_Region="All Regions"),OR($E391=T1_Income,T1_Income="All Income Groups"))</f>
        <v>1</v>
      </c>
    </row>
    <row r="392" ht="15.0" customHeight="1">
      <c r="A392" s="2" t="s">
        <v>91</v>
      </c>
      <c r="B392" s="2" t="s">
        <v>92</v>
      </c>
      <c r="C392" s="2">
        <v>2019.0</v>
      </c>
      <c r="D392" s="2" t="s">
        <v>45</v>
      </c>
      <c r="E392" s="2" t="s">
        <v>20</v>
      </c>
      <c r="F392" s="2">
        <v>69.87</v>
      </c>
      <c r="G392" s="2">
        <v>64.3</v>
      </c>
      <c r="H392" s="2">
        <v>72.93</v>
      </c>
      <c r="I392" s="2">
        <v>80.06</v>
      </c>
      <c r="J392" s="2">
        <v>71.79</v>
      </c>
      <c r="K392" s="2">
        <v>28.21</v>
      </c>
      <c r="L392" s="2" t="s">
        <v>97</v>
      </c>
      <c r="M392" s="2">
        <v>45938.61</v>
      </c>
      <c r="N392" s="2" t="str">
        <f t="shared" si="1"/>
        <v>Low Risk</v>
      </c>
      <c r="O392" s="2" t="b">
        <f>AND(OR($D392=T1_Region,T1_Region="All Regions"),OR($E392=T1_Income,T1_Income="All Income Groups"))</f>
        <v>1</v>
      </c>
    </row>
    <row r="393" ht="15.0" customHeight="1">
      <c r="A393" s="2" t="s">
        <v>91</v>
      </c>
      <c r="B393" s="2" t="s">
        <v>92</v>
      </c>
      <c r="C393" s="2">
        <v>2020.0</v>
      </c>
      <c r="D393" s="2" t="s">
        <v>45</v>
      </c>
      <c r="E393" s="2" t="s">
        <v>20</v>
      </c>
      <c r="F393" s="2">
        <v>69.34</v>
      </c>
      <c r="G393" s="2">
        <v>63.81</v>
      </c>
      <c r="H393" s="2">
        <v>71.68</v>
      </c>
      <c r="I393" s="2">
        <v>80.02</v>
      </c>
      <c r="J393" s="2">
        <v>71.21</v>
      </c>
      <c r="K393" s="2">
        <v>28.79</v>
      </c>
      <c r="L393" s="2" t="s">
        <v>97</v>
      </c>
      <c r="M393" s="2">
        <v>37991.74</v>
      </c>
      <c r="N393" s="2" t="str">
        <f t="shared" si="1"/>
        <v>Low Risk</v>
      </c>
      <c r="O393" s="2" t="b">
        <f>AND(OR($D393=T1_Region,T1_Region="All Regions"),OR($E393=T1_Income,T1_Income="All Income Groups"))</f>
        <v>1</v>
      </c>
    </row>
    <row r="394" ht="15.0" customHeight="1">
      <c r="A394" s="2" t="s">
        <v>91</v>
      </c>
      <c r="B394" s="2" t="s">
        <v>92</v>
      </c>
      <c r="C394" s="2">
        <v>2021.0</v>
      </c>
      <c r="D394" s="2" t="s">
        <v>45</v>
      </c>
      <c r="E394" s="2" t="s">
        <v>20</v>
      </c>
      <c r="F394" s="2">
        <v>68.8</v>
      </c>
      <c r="G394" s="2">
        <v>62.79</v>
      </c>
      <c r="H394" s="2">
        <v>71.6</v>
      </c>
      <c r="I394" s="2">
        <v>80.24</v>
      </c>
      <c r="J394" s="2">
        <v>70.86</v>
      </c>
      <c r="K394" s="2">
        <v>29.14</v>
      </c>
      <c r="L394" s="2" t="s">
        <v>97</v>
      </c>
      <c r="M394" s="2">
        <v>44118.49</v>
      </c>
      <c r="N394" s="2" t="str">
        <f t="shared" si="1"/>
        <v>Low Risk</v>
      </c>
      <c r="O394" s="2" t="b">
        <f>AND(OR($D394=T1_Region,T1_Region="All Regions"),OR($E394=T1_Income,T1_Income="All Income Groups"))</f>
        <v>1</v>
      </c>
    </row>
    <row r="395" ht="15.0" customHeight="1">
      <c r="A395" s="2" t="s">
        <v>91</v>
      </c>
      <c r="B395" s="2" t="s">
        <v>92</v>
      </c>
      <c r="C395" s="2">
        <v>2022.0</v>
      </c>
      <c r="D395" s="2" t="s">
        <v>45</v>
      </c>
      <c r="E395" s="2" t="s">
        <v>20</v>
      </c>
      <c r="F395" s="2">
        <v>68.55</v>
      </c>
      <c r="G395" s="2">
        <v>64.02</v>
      </c>
      <c r="H395" s="2">
        <v>71.54</v>
      </c>
      <c r="I395" s="2">
        <v>80.98</v>
      </c>
      <c r="J395" s="2">
        <v>71.27</v>
      </c>
      <c r="K395" s="2">
        <v>28.73</v>
      </c>
      <c r="L395" s="2" t="s">
        <v>97</v>
      </c>
      <c r="M395" s="2">
        <v>50759.76</v>
      </c>
      <c r="N395" s="2" t="str">
        <f t="shared" si="1"/>
        <v>Low Risk</v>
      </c>
      <c r="O395" s="2" t="b">
        <f>AND(OR($D395=T1_Region,T1_Region="All Regions"),OR($E395=T1_Income,T1_Income="All Income Groups"))</f>
        <v>1</v>
      </c>
    </row>
    <row r="396" ht="15.0" customHeight="1">
      <c r="A396" s="2" t="s">
        <v>91</v>
      </c>
      <c r="B396" s="2" t="s">
        <v>92</v>
      </c>
      <c r="C396" s="2">
        <v>2023.0</v>
      </c>
      <c r="D396" s="2" t="s">
        <v>45</v>
      </c>
      <c r="E396" s="2" t="s">
        <v>20</v>
      </c>
      <c r="F396" s="2">
        <v>67.93</v>
      </c>
      <c r="G396" s="2">
        <v>64.7</v>
      </c>
      <c r="H396" s="2">
        <v>72.3</v>
      </c>
      <c r="I396" s="2">
        <v>79.27</v>
      </c>
      <c r="J396" s="2">
        <v>71.05</v>
      </c>
      <c r="K396" s="2">
        <v>28.95</v>
      </c>
      <c r="L396" s="2" t="s">
        <v>97</v>
      </c>
      <c r="M396" s="2">
        <v>49850.69</v>
      </c>
      <c r="N396" s="2" t="str">
        <f t="shared" si="1"/>
        <v>Low Risk</v>
      </c>
      <c r="O396" s="2" t="b">
        <f>AND(OR($D396=T1_Region,T1_Region="All Regions"),OR($E396=T1_Income,T1_Income="All Income Groups"))</f>
        <v>1</v>
      </c>
    </row>
    <row r="397" ht="15.0" customHeight="1">
      <c r="A397" s="2" t="s">
        <v>91</v>
      </c>
      <c r="B397" s="2" t="s">
        <v>92</v>
      </c>
      <c r="C397" s="2">
        <v>2024.0</v>
      </c>
      <c r="D397" s="2" t="s">
        <v>45</v>
      </c>
      <c r="E397" s="2" t="s">
        <v>20</v>
      </c>
      <c r="F397" s="2">
        <v>71.54</v>
      </c>
      <c r="G397" s="2">
        <v>65.52</v>
      </c>
      <c r="H397" s="2">
        <v>72.62</v>
      </c>
      <c r="I397" s="2">
        <v>79.37</v>
      </c>
      <c r="J397" s="2">
        <v>72.26</v>
      </c>
      <c r="K397" s="2">
        <v>27.74</v>
      </c>
      <c r="L397" s="2" t="s">
        <v>97</v>
      </c>
      <c r="M397" s="2">
        <v>50273.51</v>
      </c>
      <c r="N397" s="2" t="str">
        <f t="shared" si="1"/>
        <v>Low Risk</v>
      </c>
      <c r="O397" s="2" t="b">
        <f>AND(OR($D397=T1_Region,T1_Region="All Regions"),OR($E397=T1_Income,T1_Income="All Income Groups"))</f>
        <v>1</v>
      </c>
    </row>
    <row r="398" ht="15.0" customHeight="1">
      <c r="A398" s="2" t="s">
        <v>93</v>
      </c>
      <c r="B398" s="2" t="s">
        <v>94</v>
      </c>
      <c r="C398" s="2">
        <v>2013.0</v>
      </c>
      <c r="D398" s="2" t="s">
        <v>50</v>
      </c>
      <c r="E398" s="2" t="s">
        <v>20</v>
      </c>
      <c r="F398" s="2">
        <v>78.31</v>
      </c>
      <c r="G398" s="2">
        <v>82.93</v>
      </c>
      <c r="H398" s="2">
        <v>82.11</v>
      </c>
      <c r="I398" s="2">
        <v>73.75</v>
      </c>
      <c r="J398" s="2">
        <v>79.28</v>
      </c>
      <c r="K398" s="2">
        <v>20.72</v>
      </c>
      <c r="L398" s="2" t="s">
        <v>97</v>
      </c>
      <c r="M398" s="2">
        <v>43607.66</v>
      </c>
      <c r="N398" s="2" t="str">
        <f t="shared" si="1"/>
        <v>Low Risk</v>
      </c>
      <c r="O398" s="2" t="b">
        <f>AND(OR($D398=T1_Region,T1_Region="All Regions"),OR($E398=T1_Income,T1_Income="All Income Groups"))</f>
        <v>1</v>
      </c>
    </row>
    <row r="399" ht="15.0" customHeight="1">
      <c r="A399" s="2" t="s">
        <v>93</v>
      </c>
      <c r="B399" s="2" t="s">
        <v>94</v>
      </c>
      <c r="C399" s="2">
        <v>2014.0</v>
      </c>
      <c r="D399" s="2" t="s">
        <v>50</v>
      </c>
      <c r="E399" s="2" t="s">
        <v>20</v>
      </c>
      <c r="F399" s="2">
        <v>78.63</v>
      </c>
      <c r="G399" s="2">
        <v>84.39</v>
      </c>
      <c r="H399" s="2">
        <v>82.2</v>
      </c>
      <c r="I399" s="2">
        <v>75.18</v>
      </c>
      <c r="J399" s="2">
        <v>80.1</v>
      </c>
      <c r="K399" s="2">
        <v>19.9</v>
      </c>
      <c r="L399" s="2" t="s">
        <v>97</v>
      </c>
      <c r="M399" s="2">
        <v>47746.98</v>
      </c>
      <c r="N399" s="2" t="str">
        <f t="shared" si="1"/>
        <v>Low Risk</v>
      </c>
      <c r="O399" s="2" t="b">
        <f>AND(OR($D399=T1_Region,T1_Region="All Regions"),OR($E399=T1_Income,T1_Income="All Income Groups"))</f>
        <v>1</v>
      </c>
    </row>
    <row r="400" ht="15.0" customHeight="1">
      <c r="A400" s="2" t="s">
        <v>93</v>
      </c>
      <c r="B400" s="2" t="s">
        <v>94</v>
      </c>
      <c r="C400" s="2">
        <v>2015.0</v>
      </c>
      <c r="D400" s="2" t="s">
        <v>50</v>
      </c>
      <c r="E400" s="2" t="s">
        <v>20</v>
      </c>
      <c r="F400" s="2">
        <v>81.34</v>
      </c>
      <c r="G400" s="2">
        <v>85.55</v>
      </c>
      <c r="H400" s="2">
        <v>83.47</v>
      </c>
      <c r="I400" s="2">
        <v>75.07</v>
      </c>
      <c r="J400" s="2">
        <v>81.36</v>
      </c>
      <c r="K400" s="2">
        <v>18.64</v>
      </c>
      <c r="L400" s="2" t="s">
        <v>97</v>
      </c>
      <c r="M400" s="2">
        <v>45256.04</v>
      </c>
      <c r="N400" s="2" t="str">
        <f t="shared" si="1"/>
        <v>Low Risk</v>
      </c>
      <c r="O400" s="2" t="b">
        <f>AND(OR($D400=T1_Region,T1_Region="All Regions"),OR($E400=T1_Income,T1_Income="All Income Groups"))</f>
        <v>1</v>
      </c>
    </row>
    <row r="401" ht="15.0" customHeight="1">
      <c r="A401" s="2" t="s">
        <v>93</v>
      </c>
      <c r="B401" s="2" t="s">
        <v>94</v>
      </c>
      <c r="C401" s="2">
        <v>2016.0</v>
      </c>
      <c r="D401" s="2" t="s">
        <v>50</v>
      </c>
      <c r="E401" s="2" t="s">
        <v>20</v>
      </c>
      <c r="F401" s="2">
        <v>83.48</v>
      </c>
      <c r="G401" s="2">
        <v>84.73</v>
      </c>
      <c r="H401" s="2">
        <v>81.37</v>
      </c>
      <c r="I401" s="2">
        <v>73.58</v>
      </c>
      <c r="J401" s="2">
        <v>80.79</v>
      </c>
      <c r="K401" s="2">
        <v>19.21</v>
      </c>
      <c r="L401" s="2" t="s">
        <v>97</v>
      </c>
      <c r="M401" s="2">
        <v>41258.54</v>
      </c>
      <c r="N401" s="2" t="str">
        <f t="shared" si="1"/>
        <v>Low Risk</v>
      </c>
      <c r="O401" s="2" t="b">
        <f>AND(OR($D401=T1_Region,T1_Region="All Regions"),OR($E401=T1_Income,T1_Income="All Income Groups"))</f>
        <v>1</v>
      </c>
    </row>
    <row r="402" ht="15.0" customHeight="1">
      <c r="A402" s="2" t="s">
        <v>93</v>
      </c>
      <c r="B402" s="2" t="s">
        <v>94</v>
      </c>
      <c r="C402" s="2">
        <v>2017.0</v>
      </c>
      <c r="D402" s="2" t="s">
        <v>50</v>
      </c>
      <c r="E402" s="2" t="s">
        <v>20</v>
      </c>
      <c r="F402" s="2">
        <v>84.62</v>
      </c>
      <c r="G402" s="2">
        <v>84.65</v>
      </c>
      <c r="H402" s="2">
        <v>81.19</v>
      </c>
      <c r="I402" s="2">
        <v>73.42</v>
      </c>
      <c r="J402" s="2">
        <v>80.97</v>
      </c>
      <c r="K402" s="2">
        <v>19.03</v>
      </c>
      <c r="L402" s="2" t="s">
        <v>97</v>
      </c>
      <c r="M402" s="2">
        <v>40918.05</v>
      </c>
      <c r="N402" s="2" t="str">
        <f t="shared" si="1"/>
        <v>Low Risk</v>
      </c>
      <c r="O402" s="2" t="b">
        <f>AND(OR($D402=T1_Region,T1_Region="All Regions"),OR($E402=T1_Income,T1_Income="All Income Groups"))</f>
        <v>1</v>
      </c>
    </row>
    <row r="403" ht="15.0" customHeight="1">
      <c r="A403" s="2" t="s">
        <v>93</v>
      </c>
      <c r="B403" s="2" t="s">
        <v>94</v>
      </c>
      <c r="C403" s="2">
        <v>2018.0</v>
      </c>
      <c r="D403" s="2" t="s">
        <v>50</v>
      </c>
      <c r="E403" s="2" t="s">
        <v>20</v>
      </c>
      <c r="F403" s="2">
        <v>84.38</v>
      </c>
      <c r="G403" s="2">
        <v>82.53</v>
      </c>
      <c r="H403" s="2">
        <v>81.28</v>
      </c>
      <c r="I403" s="2">
        <v>70.72</v>
      </c>
      <c r="J403" s="2">
        <v>79.73</v>
      </c>
      <c r="K403" s="2">
        <v>20.27</v>
      </c>
      <c r="L403" s="2" t="s">
        <v>97</v>
      </c>
      <c r="M403" s="2">
        <v>43704.32</v>
      </c>
      <c r="N403" s="2" t="str">
        <f t="shared" si="1"/>
        <v>Low Risk</v>
      </c>
      <c r="O403" s="2" t="b">
        <f>AND(OR($D403=T1_Region,T1_Region="All Regions"),OR($E403=T1_Income,T1_Income="All Income Groups"))</f>
        <v>1</v>
      </c>
    </row>
    <row r="404" ht="15.0" customHeight="1">
      <c r="A404" s="2" t="s">
        <v>93</v>
      </c>
      <c r="B404" s="2" t="s">
        <v>94</v>
      </c>
      <c r="C404" s="2">
        <v>2019.0</v>
      </c>
      <c r="D404" s="2" t="s">
        <v>50</v>
      </c>
      <c r="E404" s="2" t="s">
        <v>20</v>
      </c>
      <c r="F404" s="2">
        <v>83.63</v>
      </c>
      <c r="G404" s="2">
        <v>81.72</v>
      </c>
      <c r="H404" s="2">
        <v>81.89</v>
      </c>
      <c r="I404" s="2">
        <v>75.6</v>
      </c>
      <c r="J404" s="2">
        <v>80.71</v>
      </c>
      <c r="K404" s="2">
        <v>19.29</v>
      </c>
      <c r="L404" s="2" t="s">
        <v>97</v>
      </c>
      <c r="M404" s="2">
        <v>43160.68</v>
      </c>
      <c r="N404" s="2" t="str">
        <f t="shared" si="1"/>
        <v>Low Risk</v>
      </c>
      <c r="O404" s="2" t="b">
        <f>AND(OR($D404=T1_Region,T1_Region="All Regions"),OR($E404=T1_Income,T1_Income="All Income Groups"))</f>
        <v>1</v>
      </c>
    </row>
    <row r="405" ht="15.0" customHeight="1">
      <c r="A405" s="2" t="s">
        <v>93</v>
      </c>
      <c r="B405" s="2" t="s">
        <v>94</v>
      </c>
      <c r="C405" s="2">
        <v>2020.0</v>
      </c>
      <c r="D405" s="2" t="s">
        <v>50</v>
      </c>
      <c r="E405" s="2" t="s">
        <v>20</v>
      </c>
      <c r="F405" s="2">
        <v>82.69</v>
      </c>
      <c r="G405" s="2">
        <v>80.29</v>
      </c>
      <c r="H405" s="2">
        <v>80.12</v>
      </c>
      <c r="I405" s="2">
        <v>74.61</v>
      </c>
      <c r="J405" s="2">
        <v>79.43</v>
      </c>
      <c r="K405" s="2">
        <v>20.57</v>
      </c>
      <c r="L405" s="2" t="s">
        <v>97</v>
      </c>
      <c r="M405" s="2">
        <v>40815.13</v>
      </c>
      <c r="N405" s="2" t="str">
        <f t="shared" si="1"/>
        <v>Low Risk</v>
      </c>
      <c r="O405" s="2" t="b">
        <f>AND(OR($D405=T1_Region,T1_Region="All Regions"),OR($E405=T1_Income,T1_Income="All Income Groups"))</f>
        <v>1</v>
      </c>
    </row>
    <row r="406" ht="15.0" customHeight="1">
      <c r="A406" s="2" t="s">
        <v>93</v>
      </c>
      <c r="B406" s="2" t="s">
        <v>94</v>
      </c>
      <c r="C406" s="2">
        <v>2021.0</v>
      </c>
      <c r="D406" s="2" t="s">
        <v>50</v>
      </c>
      <c r="E406" s="2" t="s">
        <v>20</v>
      </c>
      <c r="F406" s="2">
        <v>81.54</v>
      </c>
      <c r="G406" s="2">
        <v>79.45</v>
      </c>
      <c r="H406" s="2">
        <v>80.11</v>
      </c>
      <c r="I406" s="2">
        <v>73.35</v>
      </c>
      <c r="J406" s="2">
        <v>78.61</v>
      </c>
      <c r="K406" s="2">
        <v>21.39</v>
      </c>
      <c r="L406" s="2" t="s">
        <v>97</v>
      </c>
      <c r="M406" s="2">
        <v>47695.65</v>
      </c>
      <c r="N406" s="2" t="str">
        <f t="shared" si="1"/>
        <v>Low Risk</v>
      </c>
      <c r="O406" s="2" t="b">
        <f>AND(OR($D406=T1_Region,T1_Region="All Regions"),OR($E406=T1_Income,T1_Income="All Income Groups"))</f>
        <v>1</v>
      </c>
    </row>
    <row r="407" ht="15.0" customHeight="1">
      <c r="A407" s="2" t="s">
        <v>93</v>
      </c>
      <c r="B407" s="2" t="s">
        <v>94</v>
      </c>
      <c r="C407" s="2">
        <v>2022.0</v>
      </c>
      <c r="D407" s="2" t="s">
        <v>50</v>
      </c>
      <c r="E407" s="2" t="s">
        <v>20</v>
      </c>
      <c r="F407" s="2">
        <v>80.96</v>
      </c>
      <c r="G407" s="2">
        <v>79.33</v>
      </c>
      <c r="H407" s="2">
        <v>80.87</v>
      </c>
      <c r="I407" s="2">
        <v>72.18</v>
      </c>
      <c r="J407" s="2">
        <v>78.33</v>
      </c>
      <c r="K407" s="2">
        <v>21.67</v>
      </c>
      <c r="L407" s="2" t="s">
        <v>97</v>
      </c>
      <c r="M407" s="2">
        <v>47034.78</v>
      </c>
      <c r="N407" s="2" t="str">
        <f t="shared" si="1"/>
        <v>Low Risk</v>
      </c>
      <c r="O407" s="2" t="b">
        <f>AND(OR($D407=T1_Region,T1_Region="All Regions"),OR($E407=T1_Income,T1_Income="All Income Groups"))</f>
        <v>1</v>
      </c>
    </row>
    <row r="408" ht="15.0" customHeight="1">
      <c r="A408" s="2" t="s">
        <v>93</v>
      </c>
      <c r="B408" s="2" t="s">
        <v>94</v>
      </c>
      <c r="C408" s="2">
        <v>2023.0</v>
      </c>
      <c r="D408" s="2" t="s">
        <v>50</v>
      </c>
      <c r="E408" s="2" t="s">
        <v>20</v>
      </c>
      <c r="F408" s="2">
        <v>77.7</v>
      </c>
      <c r="G408" s="2">
        <v>78.83</v>
      </c>
      <c r="H408" s="2">
        <v>79.92</v>
      </c>
      <c r="I408" s="2">
        <v>72.19</v>
      </c>
      <c r="J408" s="2">
        <v>77.16</v>
      </c>
      <c r="K408" s="2">
        <v>22.84</v>
      </c>
      <c r="L408" s="2" t="s">
        <v>97</v>
      </c>
      <c r="M408" s="2">
        <v>49919.69</v>
      </c>
      <c r="N408" s="2" t="str">
        <f t="shared" si="1"/>
        <v>Low Risk</v>
      </c>
      <c r="O408" s="2" t="b">
        <f>AND(OR($D408=T1_Region,T1_Region="All Regions"),OR($E408=T1_Income,T1_Income="All Income Groups"))</f>
        <v>1</v>
      </c>
    </row>
    <row r="409" ht="15.0" customHeight="1">
      <c r="A409" s="2" t="s">
        <v>93</v>
      </c>
      <c r="B409" s="2" t="s">
        <v>94</v>
      </c>
      <c r="C409" s="2">
        <v>2024.0</v>
      </c>
      <c r="D409" s="2" t="s">
        <v>50</v>
      </c>
      <c r="E409" s="2" t="s">
        <v>20</v>
      </c>
      <c r="F409" s="2">
        <v>78.41</v>
      </c>
      <c r="G409" s="2">
        <v>78.82</v>
      </c>
      <c r="H409" s="2">
        <v>78.7</v>
      </c>
      <c r="I409" s="2">
        <v>70.3</v>
      </c>
      <c r="J409" s="2">
        <v>76.56</v>
      </c>
      <c r="K409" s="2">
        <v>23.44</v>
      </c>
      <c r="L409" s="2" t="s">
        <v>97</v>
      </c>
      <c r="M409" s="2">
        <v>53341.31</v>
      </c>
      <c r="N409" s="2" t="str">
        <f t="shared" si="1"/>
        <v>Low Risk</v>
      </c>
      <c r="O409" s="2" t="b">
        <f>AND(OR($D409=T1_Region,T1_Region="All Regions"),OR($E409=T1_Income,T1_Income="All Income Groups"))</f>
        <v>1</v>
      </c>
    </row>
    <row r="410" ht="15.0" customHeight="1">
      <c r="A410" s="2" t="s">
        <v>95</v>
      </c>
      <c r="B410" s="2" t="s">
        <v>96</v>
      </c>
      <c r="C410" s="2">
        <v>2013.0</v>
      </c>
      <c r="D410" s="2" t="s">
        <v>32</v>
      </c>
      <c r="E410" s="2" t="s">
        <v>20</v>
      </c>
      <c r="F410" s="2">
        <v>71.75</v>
      </c>
      <c r="G410" s="2">
        <v>79.37</v>
      </c>
      <c r="H410" s="2">
        <v>76.8</v>
      </c>
      <c r="I410" s="2">
        <v>75.79</v>
      </c>
      <c r="J410" s="2">
        <v>75.93</v>
      </c>
      <c r="K410" s="2">
        <v>24.07</v>
      </c>
      <c r="L410" s="2" t="s">
        <v>97</v>
      </c>
      <c r="M410" s="2">
        <v>53297.39</v>
      </c>
      <c r="N410" s="2" t="str">
        <f t="shared" si="1"/>
        <v>Low Risk</v>
      </c>
      <c r="O410" s="2" t="b">
        <f>AND(OR($D410=T1_Region,T1_Region="All Regions"),OR($E410=T1_Income,T1_Income="All Income Groups"))</f>
        <v>1</v>
      </c>
    </row>
    <row r="411" ht="15.0" customHeight="1">
      <c r="A411" s="2" t="s">
        <v>95</v>
      </c>
      <c r="B411" s="2" t="s">
        <v>96</v>
      </c>
      <c r="C411" s="2">
        <v>2014.0</v>
      </c>
      <c r="D411" s="2" t="s">
        <v>32</v>
      </c>
      <c r="E411" s="2" t="s">
        <v>20</v>
      </c>
      <c r="F411" s="2">
        <v>72.94</v>
      </c>
      <c r="G411" s="2">
        <v>80.05</v>
      </c>
      <c r="H411" s="2">
        <v>75.14</v>
      </c>
      <c r="I411" s="2">
        <v>77.31</v>
      </c>
      <c r="J411" s="2">
        <v>76.36</v>
      </c>
      <c r="K411" s="2">
        <v>23.64</v>
      </c>
      <c r="L411" s="2" t="s">
        <v>97</v>
      </c>
      <c r="M411" s="2">
        <v>55153.39</v>
      </c>
      <c r="N411" s="2" t="str">
        <f t="shared" si="1"/>
        <v>Low Risk</v>
      </c>
      <c r="O411" s="2" t="b">
        <f>AND(OR($D411=T1_Region,T1_Region="All Regions"),OR($E411=T1_Income,T1_Income="All Income Groups"))</f>
        <v>1</v>
      </c>
    </row>
    <row r="412" ht="15.0" customHeight="1">
      <c r="A412" s="2" t="s">
        <v>95</v>
      </c>
      <c r="B412" s="2" t="s">
        <v>96</v>
      </c>
      <c r="C412" s="2">
        <v>2015.0</v>
      </c>
      <c r="D412" s="2" t="s">
        <v>32</v>
      </c>
      <c r="E412" s="2" t="s">
        <v>20</v>
      </c>
      <c r="F412" s="2">
        <v>72.89</v>
      </c>
      <c r="G412" s="2">
        <v>80.66</v>
      </c>
      <c r="H412" s="2">
        <v>75.24</v>
      </c>
      <c r="I412" s="2">
        <v>77.27</v>
      </c>
      <c r="J412" s="2">
        <v>76.52</v>
      </c>
      <c r="K412" s="2">
        <v>23.48</v>
      </c>
      <c r="L412" s="2" t="s">
        <v>97</v>
      </c>
      <c r="M412" s="2">
        <v>56849.47</v>
      </c>
      <c r="N412" s="2" t="str">
        <f t="shared" si="1"/>
        <v>Low Risk</v>
      </c>
      <c r="O412" s="2" t="b">
        <f>AND(OR($D412=T1_Region,T1_Region="All Regions"),OR($E412=T1_Income,T1_Income="All Income Groups"))</f>
        <v>1</v>
      </c>
    </row>
    <row r="413" ht="15.0" customHeight="1">
      <c r="A413" s="2" t="s">
        <v>95</v>
      </c>
      <c r="B413" s="2" t="s">
        <v>96</v>
      </c>
      <c r="C413" s="2">
        <v>2016.0</v>
      </c>
      <c r="D413" s="2" t="s">
        <v>32</v>
      </c>
      <c r="E413" s="2" t="s">
        <v>20</v>
      </c>
      <c r="F413" s="2">
        <v>73.0</v>
      </c>
      <c r="G413" s="2">
        <v>81.01</v>
      </c>
      <c r="H413" s="2">
        <v>77.06</v>
      </c>
      <c r="I413" s="2">
        <v>71.5</v>
      </c>
      <c r="J413" s="2">
        <v>75.64</v>
      </c>
      <c r="K413" s="2">
        <v>24.36</v>
      </c>
      <c r="L413" s="2" t="s">
        <v>97</v>
      </c>
      <c r="M413" s="2">
        <v>57976.63</v>
      </c>
      <c r="N413" s="2" t="str">
        <f t="shared" si="1"/>
        <v>Low Risk</v>
      </c>
      <c r="O413" s="2" t="b">
        <f>AND(OR($D413=T1_Region,T1_Region="All Regions"),OR($E413=T1_Income,T1_Income="All Income Groups"))</f>
        <v>1</v>
      </c>
    </row>
    <row r="414" ht="15.0" customHeight="1">
      <c r="A414" s="2" t="s">
        <v>95</v>
      </c>
      <c r="B414" s="2" t="s">
        <v>96</v>
      </c>
      <c r="C414" s="2">
        <v>2017.0</v>
      </c>
      <c r="D414" s="2" t="s">
        <v>32</v>
      </c>
      <c r="E414" s="2" t="s">
        <v>20</v>
      </c>
      <c r="F414" s="2">
        <v>74.29</v>
      </c>
      <c r="G414" s="2">
        <v>79.68</v>
      </c>
      <c r="H414" s="2">
        <v>78.66</v>
      </c>
      <c r="I414" s="2">
        <v>67.78</v>
      </c>
      <c r="J414" s="2">
        <v>75.1</v>
      </c>
      <c r="K414" s="2">
        <v>24.9</v>
      </c>
      <c r="L414" s="2" t="s">
        <v>97</v>
      </c>
      <c r="M414" s="2">
        <v>60047.72</v>
      </c>
      <c r="N414" s="2" t="str">
        <f t="shared" si="1"/>
        <v>Low Risk</v>
      </c>
      <c r="O414" s="2" t="b">
        <f>AND(OR($D414=T1_Region,T1_Region="All Regions"),OR($E414=T1_Income,T1_Income="All Income Groups"))</f>
        <v>1</v>
      </c>
    </row>
    <row r="415" ht="15.0" customHeight="1">
      <c r="A415" s="2" t="s">
        <v>95</v>
      </c>
      <c r="B415" s="2" t="s">
        <v>96</v>
      </c>
      <c r="C415" s="2">
        <v>2018.0</v>
      </c>
      <c r="D415" s="2" t="s">
        <v>32</v>
      </c>
      <c r="E415" s="2" t="s">
        <v>20</v>
      </c>
      <c r="F415" s="2">
        <v>73.17</v>
      </c>
      <c r="G415" s="2">
        <v>77.14</v>
      </c>
      <c r="H415" s="2">
        <v>78.27</v>
      </c>
      <c r="I415" s="2">
        <v>70.86</v>
      </c>
      <c r="J415" s="2">
        <v>74.86</v>
      </c>
      <c r="K415" s="2">
        <v>25.14</v>
      </c>
      <c r="L415" s="2" t="s">
        <v>97</v>
      </c>
      <c r="M415" s="2">
        <v>62875.67</v>
      </c>
      <c r="N415" s="2" t="str">
        <f t="shared" si="1"/>
        <v>Low Risk</v>
      </c>
      <c r="O415" s="2" t="b">
        <f>AND(OR($D415=T1_Region,T1_Region="All Regions"),OR($E415=T1_Income,T1_Income="All Income Groups"))</f>
        <v>1</v>
      </c>
    </row>
    <row r="416" ht="15.0" customHeight="1">
      <c r="A416" s="2" t="s">
        <v>95</v>
      </c>
      <c r="B416" s="2" t="s">
        <v>96</v>
      </c>
      <c r="C416" s="2">
        <v>2019.0</v>
      </c>
      <c r="D416" s="2" t="s">
        <v>32</v>
      </c>
      <c r="E416" s="2" t="s">
        <v>20</v>
      </c>
      <c r="F416" s="2">
        <v>71.58</v>
      </c>
      <c r="G416" s="2">
        <v>76.3</v>
      </c>
      <c r="H416" s="2">
        <v>76.43</v>
      </c>
      <c r="I416" s="2">
        <v>66.83</v>
      </c>
      <c r="J416" s="2">
        <v>72.78</v>
      </c>
      <c r="K416" s="2">
        <v>27.22</v>
      </c>
      <c r="L416" s="2" t="s">
        <v>97</v>
      </c>
      <c r="M416" s="2">
        <v>65227.96</v>
      </c>
      <c r="N416" s="2" t="str">
        <f t="shared" si="1"/>
        <v>Low Risk</v>
      </c>
      <c r="O416" s="2" t="b">
        <f>AND(OR($D416=T1_Region,T1_Region="All Regions"),OR($E416=T1_Income,T1_Income="All Income Groups"))</f>
        <v>1</v>
      </c>
    </row>
    <row r="417" ht="15.0" customHeight="1">
      <c r="A417" s="2" t="s">
        <v>95</v>
      </c>
      <c r="B417" s="2" t="s">
        <v>96</v>
      </c>
      <c r="C417" s="2">
        <v>2020.0</v>
      </c>
      <c r="D417" s="2" t="s">
        <v>32</v>
      </c>
      <c r="E417" s="2" t="s">
        <v>20</v>
      </c>
      <c r="F417" s="2">
        <v>70.61</v>
      </c>
      <c r="G417" s="2">
        <v>74.25</v>
      </c>
      <c r="H417" s="2">
        <v>75.02</v>
      </c>
      <c r="I417" s="2">
        <v>63.39</v>
      </c>
      <c r="J417" s="2">
        <v>70.82</v>
      </c>
      <c r="K417" s="2">
        <v>29.18</v>
      </c>
      <c r="L417" s="2" t="s">
        <v>97</v>
      </c>
      <c r="M417" s="2">
        <v>64465.3</v>
      </c>
      <c r="N417" s="2" t="str">
        <f t="shared" si="1"/>
        <v>Low Risk</v>
      </c>
      <c r="O417" s="2" t="b">
        <f>AND(OR($D417=T1_Region,T1_Region="All Regions"),OR($E417=T1_Income,T1_Income="All Income Groups"))</f>
        <v>1</v>
      </c>
    </row>
    <row r="418" ht="15.0" customHeight="1">
      <c r="A418" s="2" t="s">
        <v>95</v>
      </c>
      <c r="B418" s="2" t="s">
        <v>96</v>
      </c>
      <c r="C418" s="2">
        <v>2021.0</v>
      </c>
      <c r="D418" s="2" t="s">
        <v>32</v>
      </c>
      <c r="E418" s="2" t="s">
        <v>20</v>
      </c>
      <c r="F418" s="2">
        <v>70.62</v>
      </c>
      <c r="G418" s="2">
        <v>74.66</v>
      </c>
      <c r="H418" s="2">
        <v>77.96</v>
      </c>
      <c r="I418" s="2">
        <v>63.74</v>
      </c>
      <c r="J418" s="2">
        <v>71.74</v>
      </c>
      <c r="K418" s="2">
        <v>28.26</v>
      </c>
      <c r="L418" s="2" t="s">
        <v>97</v>
      </c>
      <c r="M418" s="2">
        <v>71441.23</v>
      </c>
      <c r="N418" s="2" t="str">
        <f t="shared" si="1"/>
        <v>Low Risk</v>
      </c>
      <c r="O418" s="2" t="b">
        <f>AND(OR($D418=T1_Region,T1_Region="All Regions"),OR($E418=T1_Income,T1_Income="All Income Groups"))</f>
        <v>1</v>
      </c>
    </row>
    <row r="419" ht="15.0" customHeight="1">
      <c r="A419" s="2" t="s">
        <v>95</v>
      </c>
      <c r="B419" s="2" t="s">
        <v>96</v>
      </c>
      <c r="C419" s="2">
        <v>2022.0</v>
      </c>
      <c r="D419" s="2" t="s">
        <v>32</v>
      </c>
      <c r="E419" s="2" t="s">
        <v>20</v>
      </c>
      <c r="F419" s="2">
        <v>72.19</v>
      </c>
      <c r="G419" s="2">
        <v>75.07</v>
      </c>
      <c r="H419" s="2">
        <v>77.87</v>
      </c>
      <c r="I419" s="2">
        <v>63.12</v>
      </c>
      <c r="J419" s="2">
        <v>72.06</v>
      </c>
      <c r="K419" s="2">
        <v>27.94</v>
      </c>
      <c r="L419" s="2" t="s">
        <v>97</v>
      </c>
      <c r="M419" s="2">
        <v>78008.69</v>
      </c>
      <c r="N419" s="2" t="str">
        <f t="shared" si="1"/>
        <v>Low Risk</v>
      </c>
      <c r="O419" s="2" t="b">
        <f>AND(OR($D419=T1_Region,T1_Region="All Regions"),OR($E419=T1_Income,T1_Income="All Income Groups"))</f>
        <v>1</v>
      </c>
    </row>
    <row r="420" ht="15.0" customHeight="1">
      <c r="A420" s="2" t="s">
        <v>95</v>
      </c>
      <c r="B420" s="2" t="s">
        <v>96</v>
      </c>
      <c r="C420" s="2">
        <v>2023.0</v>
      </c>
      <c r="D420" s="2" t="s">
        <v>32</v>
      </c>
      <c r="E420" s="2" t="s">
        <v>20</v>
      </c>
      <c r="F420" s="2">
        <v>72.05</v>
      </c>
      <c r="G420" s="2">
        <v>73.5</v>
      </c>
      <c r="H420" s="2">
        <v>77.43</v>
      </c>
      <c r="I420" s="2">
        <v>62.6</v>
      </c>
      <c r="J420" s="2">
        <v>71.39</v>
      </c>
      <c r="K420" s="2">
        <v>28.61</v>
      </c>
      <c r="L420" s="2" t="s">
        <v>97</v>
      </c>
      <c r="M420" s="2">
        <v>82586.78</v>
      </c>
      <c r="N420" s="2" t="str">
        <f t="shared" si="1"/>
        <v>Low Risk</v>
      </c>
      <c r="O420" s="2" t="b">
        <f>AND(OR($D420=T1_Region,T1_Region="All Regions"),OR($E420=T1_Income,T1_Income="All Income Groups"))</f>
        <v>1</v>
      </c>
    </row>
    <row r="421" ht="15.0" customHeight="1">
      <c r="A421" s="2" t="s">
        <v>95</v>
      </c>
      <c r="B421" s="2" t="s">
        <v>96</v>
      </c>
      <c r="C421" s="2">
        <v>2024.0</v>
      </c>
      <c r="D421" s="2" t="s">
        <v>32</v>
      </c>
      <c r="E421" s="2" t="s">
        <v>20</v>
      </c>
      <c r="F421" s="2">
        <v>69.86</v>
      </c>
      <c r="G421" s="2">
        <v>73.52</v>
      </c>
      <c r="H421" s="2">
        <v>76.19</v>
      </c>
      <c r="I421" s="2">
        <v>64.27</v>
      </c>
      <c r="J421" s="2">
        <v>70.96</v>
      </c>
      <c r="K421" s="2">
        <v>29.04</v>
      </c>
      <c r="L421" s="2" t="s">
        <v>97</v>
      </c>
      <c r="M421" s="2">
        <v>86169.66</v>
      </c>
      <c r="N421" s="2" t="str">
        <f t="shared" si="1"/>
        <v>Low Risk</v>
      </c>
      <c r="O421" s="2" t="b">
        <f>AND(OR($D421=T1_Region,T1_Region="All Regions"),OR($E421=T1_Income,T1_Income="All Income Groups"))</f>
        <v>1</v>
      </c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6A6A6"/>
    <pageSetUpPr/>
  </sheetPr>
  <sheetViews>
    <sheetView workbookViewId="0"/>
  </sheetViews>
  <sheetFormatPr customHeight="1" defaultColWidth="14.43" defaultRowHeight="15.0"/>
  <cols>
    <col customWidth="1" min="1" max="4" width="24.0"/>
    <col customWidth="1" min="5" max="26" width="8.71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4</v>
      </c>
    </row>
    <row r="2" ht="15.0" customHeight="1">
      <c r="A2" s="2" t="s">
        <v>5</v>
      </c>
      <c r="B2" s="2" t="s">
        <v>10</v>
      </c>
      <c r="C2" s="2" t="s">
        <v>11</v>
      </c>
      <c r="D2" s="2" t="s">
        <v>13</v>
      </c>
    </row>
    <row r="3" ht="15.0" customHeight="1">
      <c r="A3" s="2" t="s">
        <v>16</v>
      </c>
      <c r="B3" s="2" t="s">
        <v>17</v>
      </c>
      <c r="C3" s="2" t="s">
        <v>19</v>
      </c>
      <c r="D3" s="2" t="s">
        <v>20</v>
      </c>
    </row>
    <row r="4" ht="15.0" customHeight="1">
      <c r="A4" s="2" t="s">
        <v>23</v>
      </c>
      <c r="B4" s="2" t="s">
        <v>24</v>
      </c>
      <c r="C4" s="2" t="s">
        <v>25</v>
      </c>
      <c r="D4" s="2" t="s">
        <v>26</v>
      </c>
    </row>
    <row r="5" ht="15.0" customHeight="1">
      <c r="A5" s="2" t="s">
        <v>27</v>
      </c>
      <c r="B5" s="2" t="s">
        <v>28</v>
      </c>
      <c r="C5" s="2" t="s">
        <v>11</v>
      </c>
      <c r="D5" s="2" t="s">
        <v>13</v>
      </c>
    </row>
    <row r="6" ht="15.0" customHeight="1">
      <c r="A6" s="2" t="s">
        <v>30</v>
      </c>
      <c r="B6" s="2" t="s">
        <v>31</v>
      </c>
      <c r="C6" s="2" t="s">
        <v>32</v>
      </c>
      <c r="D6" s="2" t="s">
        <v>20</v>
      </c>
    </row>
    <row r="7" ht="15.0" customHeight="1">
      <c r="A7" s="2" t="s">
        <v>33</v>
      </c>
      <c r="B7" s="2" t="s">
        <v>34</v>
      </c>
      <c r="C7" s="2" t="s">
        <v>11</v>
      </c>
      <c r="D7" s="2" t="s">
        <v>20</v>
      </c>
    </row>
    <row r="8" ht="15.0" customHeight="1">
      <c r="A8" s="2" t="s">
        <v>35</v>
      </c>
      <c r="B8" s="2" t="s">
        <v>36</v>
      </c>
      <c r="C8" s="2" t="s">
        <v>19</v>
      </c>
      <c r="D8" s="2" t="s">
        <v>13</v>
      </c>
    </row>
    <row r="9" ht="15.0" customHeight="1">
      <c r="A9" s="2" t="s">
        <v>37</v>
      </c>
      <c r="B9" s="2" t="s">
        <v>38</v>
      </c>
      <c r="C9" s="2" t="s">
        <v>11</v>
      </c>
      <c r="D9" s="2" t="s">
        <v>13</v>
      </c>
    </row>
    <row r="10" ht="15.0" customHeight="1">
      <c r="A10" s="2" t="s">
        <v>39</v>
      </c>
      <c r="B10" s="2" t="s">
        <v>40</v>
      </c>
      <c r="C10" s="2" t="s">
        <v>41</v>
      </c>
      <c r="D10" s="2" t="s">
        <v>42</v>
      </c>
    </row>
    <row r="11" ht="15.0" customHeight="1">
      <c r="A11" s="2" t="s">
        <v>43</v>
      </c>
      <c r="B11" s="2" t="s">
        <v>44</v>
      </c>
      <c r="C11" s="2" t="s">
        <v>45</v>
      </c>
      <c r="D11" s="2" t="s">
        <v>26</v>
      </c>
    </row>
    <row r="12" ht="15.0" customHeight="1">
      <c r="A12" s="2" t="s">
        <v>46</v>
      </c>
      <c r="B12" s="2" t="s">
        <v>47</v>
      </c>
      <c r="C12" s="2" t="s">
        <v>41</v>
      </c>
      <c r="D12" s="2" t="s">
        <v>42</v>
      </c>
    </row>
    <row r="13" ht="15.0" customHeight="1">
      <c r="A13" s="2" t="s">
        <v>48</v>
      </c>
      <c r="B13" s="2" t="s">
        <v>49</v>
      </c>
      <c r="C13" s="2" t="s">
        <v>50</v>
      </c>
      <c r="D13" s="2" t="s">
        <v>20</v>
      </c>
    </row>
    <row r="14" ht="15.0" customHeight="1">
      <c r="A14" s="2" t="s">
        <v>51</v>
      </c>
      <c r="B14" s="2" t="s">
        <v>52</v>
      </c>
      <c r="C14" s="2" t="s">
        <v>50</v>
      </c>
      <c r="D14" s="2" t="s">
        <v>13</v>
      </c>
    </row>
    <row r="15" ht="15.0" customHeight="1">
      <c r="A15" s="2" t="s">
        <v>53</v>
      </c>
      <c r="B15" s="2" t="s">
        <v>54</v>
      </c>
      <c r="C15" s="2" t="s">
        <v>50</v>
      </c>
      <c r="D15" s="2" t="s">
        <v>20</v>
      </c>
    </row>
    <row r="16" ht="15.0" customHeight="1">
      <c r="A16" s="2" t="s">
        <v>55</v>
      </c>
      <c r="B16" s="2" t="s">
        <v>56</v>
      </c>
      <c r="C16" s="2" t="s">
        <v>50</v>
      </c>
      <c r="D16" s="2" t="s">
        <v>20</v>
      </c>
    </row>
    <row r="17" ht="15.0" customHeight="1">
      <c r="A17" s="2" t="s">
        <v>57</v>
      </c>
      <c r="B17" s="2" t="s">
        <v>58</v>
      </c>
      <c r="C17" s="2" t="s">
        <v>25</v>
      </c>
      <c r="D17" s="2" t="s">
        <v>26</v>
      </c>
    </row>
    <row r="18" ht="15.0" customHeight="1">
      <c r="A18" s="2" t="s">
        <v>59</v>
      </c>
      <c r="B18" s="2" t="s">
        <v>60</v>
      </c>
      <c r="C18" s="2" t="s">
        <v>19</v>
      </c>
      <c r="D18" s="2" t="s">
        <v>26</v>
      </c>
    </row>
    <row r="19" ht="15.0" customHeight="1">
      <c r="A19" s="2" t="s">
        <v>61</v>
      </c>
      <c r="B19" s="2" t="s">
        <v>62</v>
      </c>
      <c r="C19" s="2" t="s">
        <v>45</v>
      </c>
      <c r="D19" s="2" t="s">
        <v>26</v>
      </c>
    </row>
    <row r="20" ht="15.0" customHeight="1">
      <c r="A20" s="2" t="s">
        <v>63</v>
      </c>
      <c r="B20" s="2" t="s">
        <v>64</v>
      </c>
      <c r="C20" s="2" t="s">
        <v>50</v>
      </c>
      <c r="D20" s="2" t="s">
        <v>20</v>
      </c>
    </row>
    <row r="21" ht="15.0" customHeight="1">
      <c r="A21" s="2" t="s">
        <v>65</v>
      </c>
      <c r="B21" s="2" t="s">
        <v>66</v>
      </c>
      <c r="C21" s="2" t="s">
        <v>19</v>
      </c>
      <c r="D21" s="2" t="s">
        <v>20</v>
      </c>
    </row>
    <row r="22" ht="15.0" customHeight="1">
      <c r="A22" s="2" t="s">
        <v>67</v>
      </c>
      <c r="B22" s="2" t="s">
        <v>68</v>
      </c>
      <c r="C22" s="2" t="s">
        <v>50</v>
      </c>
      <c r="D22" s="2" t="s">
        <v>13</v>
      </c>
    </row>
    <row r="23" ht="15.0" customHeight="1">
      <c r="A23" s="2" t="s">
        <v>69</v>
      </c>
      <c r="B23" s="2" t="s">
        <v>70</v>
      </c>
      <c r="C23" s="2" t="s">
        <v>41</v>
      </c>
      <c r="D23" s="2" t="s">
        <v>26</v>
      </c>
    </row>
    <row r="24" ht="15.0" customHeight="1">
      <c r="A24" s="2" t="s">
        <v>71</v>
      </c>
      <c r="B24" s="2" t="s">
        <v>72</v>
      </c>
      <c r="C24" s="2" t="s">
        <v>11</v>
      </c>
      <c r="D24" s="2" t="s">
        <v>13</v>
      </c>
    </row>
    <row r="25" ht="15.0" customHeight="1">
      <c r="A25" s="2" t="s">
        <v>73</v>
      </c>
      <c r="B25" s="2" t="s">
        <v>74</v>
      </c>
      <c r="C25" s="2" t="s">
        <v>41</v>
      </c>
      <c r="D25" s="2" t="s">
        <v>26</v>
      </c>
    </row>
    <row r="26" ht="15.0" customHeight="1">
      <c r="A26" s="2" t="s">
        <v>75</v>
      </c>
      <c r="B26" s="2" t="s">
        <v>76</v>
      </c>
      <c r="C26" s="2" t="s">
        <v>25</v>
      </c>
      <c r="D26" s="2" t="s">
        <v>26</v>
      </c>
    </row>
    <row r="27" ht="15.0" customHeight="1">
      <c r="A27" s="2" t="s">
        <v>77</v>
      </c>
      <c r="B27" s="2" t="s">
        <v>78</v>
      </c>
      <c r="C27" s="2" t="s">
        <v>19</v>
      </c>
      <c r="D27" s="2" t="s">
        <v>26</v>
      </c>
    </row>
    <row r="28" ht="15.0" customHeight="1">
      <c r="A28" s="2" t="s">
        <v>79</v>
      </c>
      <c r="B28" s="2" t="s">
        <v>80</v>
      </c>
      <c r="C28" s="2" t="s">
        <v>50</v>
      </c>
      <c r="D28" s="2" t="s">
        <v>20</v>
      </c>
    </row>
    <row r="29" ht="15.0" customHeight="1">
      <c r="A29" s="2" t="s">
        <v>81</v>
      </c>
      <c r="B29" s="2" t="s">
        <v>82</v>
      </c>
      <c r="C29" s="2" t="s">
        <v>50</v>
      </c>
      <c r="D29" s="2" t="s">
        <v>13</v>
      </c>
    </row>
    <row r="30" ht="15.0" customHeight="1">
      <c r="A30" s="2" t="s">
        <v>83</v>
      </c>
      <c r="B30" s="2" t="s">
        <v>84</v>
      </c>
      <c r="C30" s="2" t="s">
        <v>45</v>
      </c>
      <c r="D30" s="2" t="s">
        <v>20</v>
      </c>
    </row>
    <row r="31" ht="15.0" customHeight="1">
      <c r="A31" s="2" t="s">
        <v>85</v>
      </c>
      <c r="B31" s="2" t="s">
        <v>86</v>
      </c>
      <c r="C31" s="2" t="s">
        <v>41</v>
      </c>
      <c r="D31" s="2" t="s">
        <v>13</v>
      </c>
    </row>
    <row r="32" ht="15.0" customHeight="1">
      <c r="A32" s="2" t="s">
        <v>87</v>
      </c>
      <c r="B32" s="2" t="s">
        <v>88</v>
      </c>
      <c r="C32" s="2" t="s">
        <v>25</v>
      </c>
      <c r="D32" s="2" t="s">
        <v>26</v>
      </c>
    </row>
    <row r="33" ht="15.0" customHeight="1">
      <c r="A33" s="2" t="s">
        <v>89</v>
      </c>
      <c r="B33" s="2" t="s">
        <v>90</v>
      </c>
      <c r="C33" s="2" t="s">
        <v>50</v>
      </c>
      <c r="D33" s="2" t="s">
        <v>13</v>
      </c>
    </row>
    <row r="34" ht="15.0" customHeight="1">
      <c r="A34" s="2" t="s">
        <v>91</v>
      </c>
      <c r="B34" s="2" t="s">
        <v>92</v>
      </c>
      <c r="C34" s="2" t="s">
        <v>45</v>
      </c>
      <c r="D34" s="2" t="s">
        <v>20</v>
      </c>
    </row>
    <row r="35" ht="15.0" customHeight="1">
      <c r="A35" s="2" t="s">
        <v>93</v>
      </c>
      <c r="B35" s="2" t="s">
        <v>94</v>
      </c>
      <c r="C35" s="2" t="s">
        <v>50</v>
      </c>
      <c r="D35" s="2" t="s">
        <v>20</v>
      </c>
    </row>
    <row r="36" ht="15.0" customHeight="1">
      <c r="A36" s="2" t="s">
        <v>95</v>
      </c>
      <c r="B36" s="2" t="s">
        <v>96</v>
      </c>
      <c r="C36" s="2" t="s">
        <v>32</v>
      </c>
      <c r="D36" s="2" t="s">
        <v>20</v>
      </c>
    </row>
    <row r="37" ht="15.75" customHeight="1">
      <c r="A37" s="2"/>
      <c r="B37" s="2"/>
      <c r="C37" s="2"/>
      <c r="D37" s="2"/>
    </row>
    <row r="38" ht="15.75" customHeight="1">
      <c r="A38" s="2"/>
      <c r="B38" s="2"/>
      <c r="C38" s="2"/>
      <c r="D38" s="2"/>
    </row>
    <row r="39" ht="15.75" customHeight="1">
      <c r="A39" s="2"/>
      <c r="B39" s="2"/>
      <c r="C39" s="2"/>
      <c r="D39" s="2"/>
    </row>
    <row r="40" ht="15.75" customHeight="1">
      <c r="A40" s="2"/>
      <c r="B40" s="2"/>
      <c r="C40" s="2"/>
      <c r="D40" s="2"/>
    </row>
    <row r="41" ht="15.75" customHeight="1">
      <c r="A41" s="2"/>
      <c r="B41" s="2"/>
      <c r="C41" s="2"/>
      <c r="D41" s="2"/>
    </row>
    <row r="42" ht="15.75" customHeight="1">
      <c r="A42" s="2"/>
      <c r="B42" s="2"/>
      <c r="C42" s="2"/>
      <c r="D42" s="2"/>
    </row>
    <row r="43" ht="15.75" customHeight="1">
      <c r="A43" s="2"/>
      <c r="B43" s="2"/>
      <c r="C43" s="2"/>
      <c r="D43" s="2"/>
    </row>
    <row r="44" ht="15.75" customHeight="1">
      <c r="A44" s="2"/>
      <c r="B44" s="2"/>
      <c r="C44" s="2"/>
      <c r="D44" s="2"/>
    </row>
    <row r="45" ht="15.75" customHeight="1">
      <c r="A45" s="2"/>
      <c r="B45" s="2"/>
      <c r="C45" s="2"/>
      <c r="D45" s="2"/>
    </row>
    <row r="46" ht="15.75" customHeight="1">
      <c r="A46" s="2"/>
      <c r="B46" s="2"/>
      <c r="C46" s="2"/>
      <c r="D46" s="2"/>
    </row>
    <row r="47" ht="15.75" customHeight="1">
      <c r="A47" s="2"/>
      <c r="B47" s="2"/>
      <c r="C47" s="2"/>
      <c r="D47" s="2"/>
    </row>
    <row r="48" ht="15.75" customHeight="1">
      <c r="A48" s="2"/>
      <c r="B48" s="2"/>
      <c r="C48" s="2"/>
      <c r="D48" s="2"/>
    </row>
    <row r="49" ht="15.75" customHeight="1">
      <c r="A49" s="2"/>
      <c r="B49" s="2"/>
      <c r="C49" s="2"/>
      <c r="D49" s="2"/>
    </row>
    <row r="50" ht="15.75" customHeight="1">
      <c r="A50" s="2"/>
      <c r="B50" s="2"/>
      <c r="C50" s="2"/>
      <c r="D50" s="2"/>
    </row>
    <row r="51" ht="15.75" customHeight="1">
      <c r="A51" s="2"/>
      <c r="B51" s="2"/>
      <c r="C51" s="2"/>
      <c r="D51" s="2"/>
    </row>
    <row r="52" ht="15.75" customHeight="1">
      <c r="A52" s="2"/>
      <c r="B52" s="2"/>
      <c r="C52" s="2"/>
      <c r="D52" s="2"/>
    </row>
    <row r="53" ht="15.75" customHeight="1">
      <c r="A53" s="2"/>
      <c r="B53" s="2"/>
      <c r="C53" s="2"/>
      <c r="D53" s="2"/>
    </row>
    <row r="54" ht="15.75" customHeight="1">
      <c r="A54" s="2"/>
      <c r="B54" s="2"/>
      <c r="C54" s="2"/>
      <c r="D54" s="2"/>
    </row>
    <row r="55" ht="15.75" customHeight="1">
      <c r="A55" s="2"/>
      <c r="B55" s="2"/>
      <c r="C55" s="2"/>
      <c r="D55" s="2"/>
    </row>
    <row r="56" ht="15.75" customHeight="1">
      <c r="A56" s="2"/>
      <c r="B56" s="2"/>
      <c r="C56" s="2"/>
      <c r="D56" s="2"/>
    </row>
    <row r="57" ht="15.75" customHeight="1">
      <c r="A57" s="2"/>
      <c r="B57" s="2"/>
      <c r="C57" s="2"/>
      <c r="D57" s="2"/>
    </row>
    <row r="58" ht="15.75" customHeight="1">
      <c r="A58" s="2"/>
      <c r="B58" s="2"/>
      <c r="C58" s="2"/>
      <c r="D58" s="2"/>
    </row>
    <row r="59" ht="15.75" customHeight="1">
      <c r="A59" s="2"/>
      <c r="B59" s="2"/>
      <c r="C59" s="2"/>
      <c r="D59" s="2"/>
    </row>
    <row r="60" ht="15.75" customHeight="1">
      <c r="A60" s="2"/>
      <c r="B60" s="2"/>
      <c r="C60" s="2"/>
      <c r="D60" s="2"/>
    </row>
    <row r="61" ht="15.75" customHeight="1">
      <c r="A61" s="2"/>
      <c r="B61" s="2"/>
      <c r="C61" s="2"/>
      <c r="D61" s="2"/>
    </row>
    <row r="62" ht="15.75" customHeight="1">
      <c r="A62" s="2"/>
      <c r="B62" s="2"/>
      <c r="C62" s="2"/>
      <c r="D62" s="2"/>
    </row>
    <row r="63" ht="15.75" customHeight="1">
      <c r="A63" s="2"/>
      <c r="B63" s="2"/>
      <c r="C63" s="2"/>
      <c r="D63" s="2"/>
    </row>
    <row r="64" ht="15.75" customHeight="1">
      <c r="A64" s="2"/>
      <c r="B64" s="2"/>
      <c r="C64" s="2"/>
      <c r="D64" s="2"/>
    </row>
    <row r="65" ht="15.75" customHeight="1">
      <c r="A65" s="2"/>
      <c r="B65" s="2"/>
      <c r="C65" s="2"/>
      <c r="D65" s="2"/>
    </row>
    <row r="66" ht="15.75" customHeight="1">
      <c r="A66" s="2"/>
      <c r="B66" s="2"/>
      <c r="C66" s="2"/>
      <c r="D66" s="2"/>
    </row>
    <row r="67" ht="15.75" customHeight="1">
      <c r="A67" s="2"/>
      <c r="B67" s="2"/>
      <c r="C67" s="2"/>
      <c r="D67" s="2"/>
    </row>
    <row r="68" ht="15.75" customHeight="1">
      <c r="A68" s="2"/>
      <c r="B68" s="2"/>
      <c r="C68" s="2"/>
      <c r="D68" s="2"/>
    </row>
    <row r="69" ht="15.75" customHeight="1">
      <c r="A69" s="2"/>
      <c r="B69" s="2"/>
      <c r="C69" s="2"/>
      <c r="D69" s="2"/>
    </row>
    <row r="70" ht="15.75" customHeight="1">
      <c r="A70" s="2"/>
      <c r="B70" s="2"/>
      <c r="C70" s="2"/>
      <c r="D70" s="2"/>
    </row>
    <row r="71" ht="15.75" customHeight="1">
      <c r="A71" s="2"/>
      <c r="B71" s="2"/>
      <c r="C71" s="2"/>
      <c r="D71" s="2"/>
    </row>
    <row r="72" ht="15.75" customHeight="1">
      <c r="A72" s="2"/>
      <c r="B72" s="2"/>
      <c r="C72" s="2"/>
      <c r="D72" s="2"/>
    </row>
    <row r="73" ht="15.75" customHeight="1">
      <c r="A73" s="2"/>
      <c r="B73" s="2"/>
      <c r="C73" s="2"/>
      <c r="D73" s="2"/>
    </row>
    <row r="74" ht="15.75" customHeight="1">
      <c r="A74" s="2"/>
      <c r="B74" s="2"/>
      <c r="C74" s="2"/>
      <c r="D74" s="2"/>
    </row>
    <row r="75" ht="15.75" customHeight="1">
      <c r="A75" s="2"/>
      <c r="B75" s="2"/>
      <c r="C75" s="2"/>
      <c r="D75" s="2"/>
    </row>
    <row r="76" ht="15.75" customHeight="1">
      <c r="A76" s="2"/>
      <c r="B76" s="2"/>
      <c r="C76" s="2"/>
      <c r="D76" s="2"/>
    </row>
    <row r="77" ht="15.75" customHeight="1">
      <c r="A77" s="2"/>
      <c r="B77" s="2"/>
      <c r="C77" s="2"/>
      <c r="D77" s="2"/>
    </row>
    <row r="78" ht="15.75" customHeight="1">
      <c r="A78" s="2"/>
      <c r="B78" s="2"/>
      <c r="C78" s="2"/>
      <c r="D78" s="2"/>
    </row>
    <row r="79" ht="15.75" customHeight="1">
      <c r="A79" s="2"/>
      <c r="B79" s="2"/>
      <c r="C79" s="2"/>
      <c r="D79" s="2"/>
    </row>
    <row r="80" ht="15.75" customHeight="1">
      <c r="A80" s="2"/>
      <c r="B80" s="2"/>
      <c r="C80" s="2"/>
      <c r="D80" s="2"/>
    </row>
    <row r="81" ht="15.75" customHeight="1">
      <c r="A81" s="2"/>
      <c r="B81" s="2"/>
      <c r="C81" s="2"/>
      <c r="D81" s="2"/>
    </row>
    <row r="82" ht="15.75" customHeight="1">
      <c r="A82" s="2"/>
      <c r="B82" s="2"/>
      <c r="C82" s="2"/>
      <c r="D82" s="2"/>
    </row>
    <row r="83" ht="15.75" customHeight="1">
      <c r="A83" s="2"/>
      <c r="B83" s="2"/>
      <c r="C83" s="2"/>
      <c r="D83" s="2"/>
    </row>
    <row r="84" ht="15.75" customHeight="1">
      <c r="A84" s="2"/>
      <c r="B84" s="2"/>
      <c r="C84" s="2"/>
      <c r="D84" s="2"/>
    </row>
    <row r="85" ht="15.75" customHeight="1">
      <c r="A85" s="2"/>
      <c r="B85" s="2"/>
      <c r="C85" s="2"/>
      <c r="D85" s="2"/>
    </row>
    <row r="86" ht="15.75" customHeight="1">
      <c r="A86" s="2"/>
      <c r="B86" s="2"/>
      <c r="C86" s="2"/>
      <c r="D86" s="2"/>
    </row>
    <row r="87" ht="15.75" customHeight="1">
      <c r="A87" s="2"/>
      <c r="B87" s="2"/>
      <c r="C87" s="2"/>
      <c r="D87" s="2"/>
    </row>
    <row r="88" ht="15.75" customHeight="1">
      <c r="A88" s="2"/>
      <c r="B88" s="2"/>
      <c r="C88" s="2"/>
      <c r="D88" s="2"/>
    </row>
    <row r="89" ht="15.75" customHeight="1">
      <c r="A89" s="2"/>
      <c r="B89" s="2"/>
      <c r="C89" s="2"/>
      <c r="D89" s="2"/>
    </row>
    <row r="90" ht="15.75" customHeight="1">
      <c r="A90" s="2"/>
      <c r="B90" s="2"/>
      <c r="C90" s="2"/>
      <c r="D90" s="2"/>
    </row>
    <row r="91" ht="15.75" customHeight="1">
      <c r="A91" s="2"/>
      <c r="B91" s="2"/>
      <c r="C91" s="2"/>
      <c r="D91" s="2"/>
    </row>
    <row r="92" ht="15.75" customHeight="1">
      <c r="A92" s="2"/>
      <c r="B92" s="2"/>
      <c r="C92" s="2"/>
      <c r="D92" s="2"/>
    </row>
    <row r="93" ht="15.75" customHeight="1">
      <c r="A93" s="2"/>
      <c r="B93" s="2"/>
      <c r="C93" s="2"/>
      <c r="D93" s="2"/>
    </row>
    <row r="94" ht="15.75" customHeight="1">
      <c r="A94" s="2"/>
      <c r="B94" s="2"/>
      <c r="C94" s="2"/>
      <c r="D94" s="2"/>
    </row>
    <row r="95" ht="15.75" customHeight="1">
      <c r="A95" s="2"/>
      <c r="B95" s="2"/>
      <c r="C95" s="2"/>
      <c r="D95" s="2"/>
    </row>
    <row r="96" ht="15.75" customHeight="1">
      <c r="A96" s="2"/>
      <c r="B96" s="2"/>
      <c r="C96" s="2"/>
      <c r="D96" s="2"/>
    </row>
    <row r="97" ht="15.75" customHeight="1">
      <c r="A97" s="2"/>
      <c r="B97" s="2"/>
      <c r="C97" s="2"/>
      <c r="D97" s="2"/>
    </row>
    <row r="98" ht="15.75" customHeight="1">
      <c r="A98" s="2"/>
      <c r="B98" s="2"/>
      <c r="C98" s="2"/>
      <c r="D98" s="2"/>
    </row>
    <row r="99" ht="15.75" customHeight="1">
      <c r="A99" s="2"/>
      <c r="B99" s="2"/>
      <c r="C99" s="2"/>
      <c r="D99" s="2"/>
    </row>
    <row r="100" ht="15.75" customHeight="1">
      <c r="A100" s="2"/>
      <c r="B100" s="2"/>
      <c r="C100" s="2"/>
      <c r="D100" s="2"/>
    </row>
    <row r="101" ht="15.75" customHeight="1">
      <c r="A101" s="2"/>
      <c r="B101" s="2"/>
      <c r="C101" s="2"/>
      <c r="D101" s="2"/>
    </row>
    <row r="102" ht="15.75" customHeight="1">
      <c r="A102" s="2"/>
      <c r="B102" s="2"/>
      <c r="C102" s="2"/>
      <c r="D102" s="2"/>
    </row>
    <row r="103" ht="15.75" customHeight="1">
      <c r="A103" s="2"/>
      <c r="B103" s="2"/>
      <c r="C103" s="2"/>
      <c r="D103" s="2"/>
    </row>
    <row r="104" ht="15.75" customHeight="1">
      <c r="A104" s="2"/>
      <c r="B104" s="2"/>
      <c r="C104" s="2"/>
      <c r="D104" s="2"/>
    </row>
    <row r="105" ht="15.75" customHeight="1">
      <c r="A105" s="2"/>
      <c r="B105" s="2"/>
      <c r="C105" s="2"/>
      <c r="D105" s="2"/>
    </row>
    <row r="106" ht="15.75" customHeight="1">
      <c r="A106" s="2"/>
      <c r="B106" s="2"/>
      <c r="C106" s="2"/>
      <c r="D106" s="2"/>
    </row>
    <row r="107" ht="15.75" customHeight="1">
      <c r="A107" s="2"/>
      <c r="B107" s="2"/>
      <c r="C107" s="2"/>
      <c r="D107" s="2"/>
    </row>
    <row r="108" ht="15.75" customHeight="1">
      <c r="A108" s="2"/>
      <c r="B108" s="2"/>
      <c r="C108" s="2"/>
      <c r="D108" s="2"/>
    </row>
    <row r="109" ht="15.75" customHeight="1">
      <c r="A109" s="2"/>
      <c r="B109" s="2"/>
      <c r="C109" s="2"/>
      <c r="D109" s="2"/>
    </row>
    <row r="110" ht="15.75" customHeight="1">
      <c r="A110" s="2"/>
      <c r="B110" s="2"/>
      <c r="C110" s="2"/>
      <c r="D110" s="2"/>
    </row>
    <row r="111" ht="15.75" customHeight="1">
      <c r="A111" s="2"/>
      <c r="B111" s="2"/>
      <c r="C111" s="2"/>
      <c r="D111" s="2"/>
    </row>
    <row r="112" ht="15.75" customHeight="1">
      <c r="A112" s="2"/>
      <c r="B112" s="2"/>
      <c r="C112" s="2"/>
      <c r="D112" s="2"/>
    </row>
    <row r="113" ht="15.75" customHeight="1">
      <c r="A113" s="2"/>
      <c r="B113" s="2"/>
      <c r="C113" s="2"/>
      <c r="D113" s="2"/>
    </row>
    <row r="114" ht="15.75" customHeight="1">
      <c r="A114" s="2"/>
      <c r="B114" s="2"/>
      <c r="C114" s="2"/>
      <c r="D114" s="2"/>
    </row>
    <row r="115" ht="15.75" customHeight="1">
      <c r="A115" s="2"/>
      <c r="B115" s="2"/>
      <c r="C115" s="2"/>
      <c r="D115" s="2"/>
    </row>
    <row r="116" ht="15.75" customHeight="1">
      <c r="A116" s="2"/>
      <c r="B116" s="2"/>
      <c r="C116" s="2"/>
      <c r="D116" s="2"/>
    </row>
    <row r="117" ht="15.75" customHeight="1">
      <c r="A117" s="2"/>
      <c r="B117" s="2"/>
      <c r="C117" s="2"/>
      <c r="D117" s="2"/>
    </row>
    <row r="118" ht="15.75" customHeight="1">
      <c r="A118" s="2"/>
      <c r="B118" s="2"/>
      <c r="C118" s="2"/>
      <c r="D118" s="2"/>
    </row>
    <row r="119" ht="15.75" customHeight="1">
      <c r="A119" s="2"/>
      <c r="B119" s="2"/>
      <c r="C119" s="2"/>
      <c r="D119" s="2"/>
    </row>
    <row r="120" ht="15.75" customHeight="1">
      <c r="A120" s="2"/>
      <c r="B120" s="2"/>
      <c r="C120" s="2"/>
      <c r="D120" s="2"/>
    </row>
    <row r="121" ht="15.75" customHeight="1">
      <c r="A121" s="2"/>
      <c r="B121" s="2"/>
      <c r="C121" s="2"/>
      <c r="D121" s="2"/>
    </row>
    <row r="122" ht="15.75" customHeight="1">
      <c r="A122" s="2"/>
      <c r="B122" s="2"/>
      <c r="C122" s="2"/>
      <c r="D122" s="2"/>
    </row>
    <row r="123" ht="15.75" customHeight="1">
      <c r="A123" s="2"/>
      <c r="B123" s="2"/>
      <c r="C123" s="2"/>
      <c r="D123" s="2"/>
    </row>
    <row r="124" ht="15.75" customHeight="1">
      <c r="A124" s="2"/>
      <c r="B124" s="2"/>
      <c r="C124" s="2"/>
      <c r="D124" s="2"/>
    </row>
    <row r="125" ht="15.75" customHeight="1">
      <c r="A125" s="2"/>
      <c r="B125" s="2"/>
      <c r="C125" s="2"/>
      <c r="D125" s="2"/>
    </row>
    <row r="126" ht="15.75" customHeight="1">
      <c r="A126" s="2"/>
      <c r="B126" s="2"/>
      <c r="C126" s="2"/>
      <c r="D126" s="2"/>
    </row>
    <row r="127" ht="15.75" customHeight="1">
      <c r="A127" s="2"/>
      <c r="B127" s="2"/>
      <c r="C127" s="2"/>
      <c r="D127" s="2"/>
    </row>
    <row r="128" ht="15.75" customHeight="1">
      <c r="A128" s="2"/>
      <c r="B128" s="2"/>
      <c r="C128" s="2"/>
      <c r="D128" s="2"/>
    </row>
    <row r="129" ht="15.75" customHeight="1">
      <c r="A129" s="2"/>
      <c r="B129" s="2"/>
      <c r="C129" s="2"/>
      <c r="D129" s="2"/>
    </row>
    <row r="130" ht="15.75" customHeight="1">
      <c r="A130" s="2"/>
      <c r="B130" s="2"/>
      <c r="C130" s="2"/>
      <c r="D130" s="2"/>
    </row>
    <row r="131" ht="15.75" customHeight="1">
      <c r="A131" s="2"/>
      <c r="B131" s="2"/>
      <c r="C131" s="2"/>
      <c r="D131" s="2"/>
    </row>
    <row r="132" ht="15.75" customHeight="1">
      <c r="A132" s="2"/>
      <c r="B132" s="2"/>
      <c r="C132" s="2"/>
      <c r="D132" s="2"/>
    </row>
    <row r="133" ht="15.75" customHeight="1">
      <c r="A133" s="2"/>
      <c r="B133" s="2"/>
      <c r="C133" s="2"/>
      <c r="D133" s="2"/>
    </row>
    <row r="134" ht="15.75" customHeight="1">
      <c r="A134" s="2"/>
      <c r="B134" s="2"/>
      <c r="C134" s="2"/>
      <c r="D134" s="2"/>
    </row>
    <row r="135" ht="15.75" customHeight="1">
      <c r="A135" s="2"/>
      <c r="B135" s="2"/>
      <c r="C135" s="2"/>
      <c r="D135" s="2"/>
    </row>
    <row r="136" ht="15.75" customHeight="1">
      <c r="A136" s="2"/>
      <c r="B136" s="2"/>
      <c r="C136" s="2"/>
      <c r="D136" s="2"/>
    </row>
    <row r="137" ht="15.75" customHeight="1">
      <c r="A137" s="2"/>
      <c r="B137" s="2"/>
      <c r="C137" s="2"/>
      <c r="D137" s="2"/>
    </row>
    <row r="138" ht="15.75" customHeight="1">
      <c r="A138" s="2"/>
      <c r="B138" s="2"/>
      <c r="C138" s="2"/>
      <c r="D138" s="2"/>
    </row>
    <row r="139" ht="15.75" customHeight="1">
      <c r="A139" s="2"/>
      <c r="B139" s="2"/>
      <c r="C139" s="2"/>
      <c r="D139" s="2"/>
    </row>
    <row r="140" ht="15.75" customHeight="1">
      <c r="A140" s="2"/>
      <c r="B140" s="2"/>
      <c r="C140" s="2"/>
      <c r="D140" s="2"/>
    </row>
    <row r="141" ht="15.75" customHeight="1">
      <c r="A141" s="2"/>
      <c r="B141" s="2"/>
      <c r="C141" s="2"/>
      <c r="D141" s="2"/>
    </row>
    <row r="142" ht="15.75" customHeight="1">
      <c r="A142" s="2"/>
      <c r="B142" s="2"/>
      <c r="C142" s="2"/>
      <c r="D142" s="2"/>
    </row>
    <row r="143" ht="15.75" customHeight="1">
      <c r="A143" s="2"/>
      <c r="B143" s="2"/>
      <c r="C143" s="2"/>
      <c r="D143" s="2"/>
    </row>
    <row r="144" ht="15.75" customHeight="1">
      <c r="A144" s="2"/>
      <c r="B144" s="2"/>
      <c r="C144" s="2"/>
      <c r="D144" s="2"/>
    </row>
    <row r="145" ht="15.75" customHeight="1">
      <c r="A145" s="2"/>
      <c r="B145" s="2"/>
      <c r="C145" s="2"/>
      <c r="D145" s="2"/>
    </row>
    <row r="146" ht="15.75" customHeight="1">
      <c r="A146" s="2"/>
      <c r="B146" s="2"/>
      <c r="C146" s="2"/>
      <c r="D146" s="2"/>
    </row>
    <row r="147" ht="15.75" customHeight="1">
      <c r="A147" s="2"/>
      <c r="B147" s="2"/>
      <c r="C147" s="2"/>
      <c r="D147" s="2"/>
    </row>
    <row r="148" ht="15.75" customHeight="1">
      <c r="A148" s="2"/>
      <c r="B148" s="2"/>
      <c r="C148" s="2"/>
      <c r="D148" s="2"/>
    </row>
    <row r="149" ht="15.75" customHeight="1">
      <c r="A149" s="2"/>
      <c r="B149" s="2"/>
      <c r="C149" s="2"/>
      <c r="D149" s="2"/>
    </row>
    <row r="150" ht="15.75" customHeight="1">
      <c r="A150" s="2"/>
      <c r="B150" s="2"/>
      <c r="C150" s="2"/>
      <c r="D150" s="2"/>
    </row>
    <row r="151" ht="15.75" customHeight="1">
      <c r="A151" s="2"/>
      <c r="B151" s="2"/>
      <c r="C151" s="2"/>
      <c r="D151" s="2"/>
    </row>
    <row r="152" ht="15.75" customHeight="1">
      <c r="A152" s="2"/>
      <c r="B152" s="2"/>
      <c r="C152" s="2"/>
      <c r="D152" s="2"/>
    </row>
    <row r="153" ht="15.75" customHeight="1">
      <c r="A153" s="2"/>
      <c r="B153" s="2"/>
      <c r="C153" s="2"/>
      <c r="D153" s="2"/>
    </row>
    <row r="154" ht="15.75" customHeight="1">
      <c r="A154" s="2"/>
      <c r="B154" s="2"/>
      <c r="C154" s="2"/>
      <c r="D154" s="2"/>
    </row>
    <row r="155" ht="15.75" customHeight="1">
      <c r="A155" s="2"/>
      <c r="B155" s="2"/>
      <c r="C155" s="2"/>
      <c r="D155" s="2"/>
    </row>
    <row r="156" ht="15.75" customHeight="1">
      <c r="A156" s="2"/>
      <c r="B156" s="2"/>
      <c r="C156" s="2"/>
      <c r="D156" s="2"/>
    </row>
    <row r="157" ht="15.75" customHeight="1">
      <c r="A157" s="2"/>
      <c r="B157" s="2"/>
      <c r="C157" s="2"/>
      <c r="D157" s="2"/>
    </row>
    <row r="158" ht="15.75" customHeight="1">
      <c r="A158" s="2"/>
      <c r="B158" s="2"/>
      <c r="C158" s="2"/>
      <c r="D158" s="2"/>
    </row>
    <row r="159" ht="15.75" customHeight="1">
      <c r="A159" s="2"/>
      <c r="B159" s="2"/>
      <c r="C159" s="2"/>
      <c r="D159" s="2"/>
    </row>
    <row r="160" ht="15.75" customHeight="1">
      <c r="A160" s="2"/>
      <c r="B160" s="2"/>
      <c r="C160" s="2"/>
      <c r="D160" s="2"/>
    </row>
    <row r="161" ht="15.75" customHeight="1">
      <c r="A161" s="2"/>
      <c r="B161" s="2"/>
      <c r="C161" s="2"/>
      <c r="D161" s="2"/>
    </row>
    <row r="162" ht="15.75" customHeight="1">
      <c r="A162" s="2"/>
      <c r="B162" s="2"/>
      <c r="C162" s="2"/>
      <c r="D162" s="2"/>
    </row>
    <row r="163" ht="15.75" customHeight="1">
      <c r="A163" s="2"/>
      <c r="B163" s="2"/>
      <c r="C163" s="2"/>
      <c r="D163" s="2"/>
    </row>
    <row r="164" ht="15.75" customHeight="1">
      <c r="A164" s="2"/>
      <c r="B164" s="2"/>
      <c r="C164" s="2"/>
      <c r="D164" s="2"/>
    </row>
    <row r="165" ht="15.75" customHeight="1">
      <c r="A165" s="2"/>
      <c r="B165" s="2"/>
      <c r="C165" s="2"/>
      <c r="D165" s="2"/>
    </row>
    <row r="166" ht="15.75" customHeight="1">
      <c r="A166" s="2"/>
      <c r="B166" s="2"/>
      <c r="C166" s="2"/>
      <c r="D166" s="2"/>
    </row>
    <row r="167" ht="15.75" customHeight="1">
      <c r="A167" s="2"/>
      <c r="B167" s="2"/>
      <c r="C167" s="2"/>
      <c r="D167" s="2"/>
    </row>
    <row r="168" ht="15.75" customHeight="1">
      <c r="A168" s="2"/>
      <c r="B168" s="2"/>
      <c r="C168" s="2"/>
      <c r="D168" s="2"/>
    </row>
    <row r="169" ht="15.75" customHeight="1">
      <c r="A169" s="2"/>
      <c r="B169" s="2"/>
      <c r="C169" s="2"/>
      <c r="D169" s="2"/>
    </row>
    <row r="170" ht="15.75" customHeight="1">
      <c r="A170" s="2"/>
      <c r="B170" s="2"/>
      <c r="C170" s="2"/>
      <c r="D170" s="2"/>
    </row>
    <row r="171" ht="15.75" customHeight="1">
      <c r="A171" s="2"/>
      <c r="B171" s="2"/>
      <c r="C171" s="2"/>
      <c r="D171" s="2"/>
    </row>
    <row r="172" ht="15.75" customHeight="1">
      <c r="A172" s="2"/>
      <c r="B172" s="2"/>
      <c r="C172" s="2"/>
      <c r="D172" s="2"/>
    </row>
    <row r="173" ht="15.75" customHeight="1">
      <c r="A173" s="2"/>
      <c r="B173" s="2"/>
      <c r="C173" s="2"/>
      <c r="D173" s="2"/>
    </row>
    <row r="174" ht="15.75" customHeight="1">
      <c r="A174" s="2"/>
      <c r="B174" s="2"/>
      <c r="C174" s="2"/>
      <c r="D174" s="2"/>
    </row>
    <row r="175" ht="15.75" customHeight="1">
      <c r="A175" s="2"/>
      <c r="B175" s="2"/>
      <c r="C175" s="2"/>
      <c r="D175" s="2"/>
    </row>
    <row r="176" ht="15.75" customHeight="1">
      <c r="A176" s="2"/>
      <c r="B176" s="2"/>
      <c r="C176" s="2"/>
      <c r="D176" s="2"/>
    </row>
    <row r="177" ht="15.75" customHeight="1">
      <c r="A177" s="2"/>
      <c r="B177" s="2"/>
      <c r="C177" s="2"/>
      <c r="D177" s="2"/>
    </row>
    <row r="178" ht="15.75" customHeight="1">
      <c r="A178" s="2"/>
      <c r="B178" s="2"/>
      <c r="C178" s="2"/>
      <c r="D178" s="2"/>
    </row>
    <row r="179" ht="15.75" customHeight="1">
      <c r="A179" s="2"/>
      <c r="B179" s="2"/>
      <c r="C179" s="2"/>
      <c r="D179" s="2"/>
    </row>
    <row r="180" ht="15.75" customHeight="1">
      <c r="A180" s="2"/>
      <c r="B180" s="2"/>
      <c r="C180" s="2"/>
      <c r="D180" s="2"/>
    </row>
    <row r="181" ht="15.75" customHeight="1">
      <c r="A181" s="2"/>
      <c r="B181" s="2"/>
      <c r="C181" s="2"/>
      <c r="D181" s="2"/>
    </row>
    <row r="182" ht="15.75" customHeight="1">
      <c r="A182" s="2"/>
      <c r="B182" s="2"/>
      <c r="C182" s="2"/>
      <c r="D182" s="2"/>
    </row>
    <row r="183" ht="15.75" customHeight="1">
      <c r="A183" s="2"/>
      <c r="B183" s="2"/>
      <c r="C183" s="2"/>
      <c r="D183" s="2"/>
    </row>
    <row r="184" ht="15.75" customHeight="1">
      <c r="A184" s="2"/>
      <c r="B184" s="2"/>
      <c r="C184" s="2"/>
      <c r="D184" s="2"/>
    </row>
    <row r="185" ht="15.75" customHeight="1">
      <c r="A185" s="2"/>
      <c r="B185" s="2"/>
      <c r="C185" s="2"/>
      <c r="D185" s="2"/>
    </row>
    <row r="186" ht="15.75" customHeight="1">
      <c r="A186" s="2"/>
      <c r="B186" s="2"/>
      <c r="C186" s="2"/>
      <c r="D186" s="2"/>
    </row>
    <row r="187" ht="15.75" customHeight="1">
      <c r="A187" s="2"/>
      <c r="B187" s="2"/>
      <c r="C187" s="2"/>
      <c r="D187" s="2"/>
    </row>
    <row r="188" ht="15.75" customHeight="1">
      <c r="A188" s="2"/>
      <c r="B188" s="2"/>
      <c r="C188" s="2"/>
      <c r="D188" s="2"/>
    </row>
    <row r="189" ht="15.75" customHeight="1">
      <c r="A189" s="2"/>
      <c r="B189" s="2"/>
      <c r="C189" s="2"/>
      <c r="D189" s="2"/>
    </row>
    <row r="190" ht="15.75" customHeight="1">
      <c r="A190" s="2"/>
      <c r="B190" s="2"/>
      <c r="C190" s="2"/>
      <c r="D190" s="2"/>
    </row>
    <row r="191" ht="15.75" customHeight="1">
      <c r="A191" s="2"/>
      <c r="B191" s="2"/>
      <c r="C191" s="2"/>
      <c r="D191" s="2"/>
    </row>
    <row r="192" ht="15.75" customHeight="1">
      <c r="A192" s="2"/>
      <c r="B192" s="2"/>
      <c r="C192" s="2"/>
      <c r="D192" s="2"/>
    </row>
    <row r="193" ht="15.75" customHeight="1">
      <c r="A193" s="2"/>
      <c r="B193" s="2"/>
      <c r="C193" s="2"/>
      <c r="D193" s="2"/>
    </row>
    <row r="194" ht="15.75" customHeight="1">
      <c r="A194" s="2"/>
      <c r="B194" s="2"/>
      <c r="C194" s="2"/>
      <c r="D194" s="2"/>
    </row>
    <row r="195" ht="15.75" customHeight="1">
      <c r="A195" s="2"/>
      <c r="B195" s="2"/>
      <c r="C195" s="2"/>
      <c r="D195" s="2"/>
    </row>
    <row r="196" ht="15.75" customHeight="1">
      <c r="A196" s="2"/>
      <c r="B196" s="2"/>
      <c r="C196" s="2"/>
      <c r="D196" s="2"/>
    </row>
    <row r="197" ht="15.75" customHeight="1">
      <c r="A197" s="2"/>
      <c r="B197" s="2"/>
      <c r="C197" s="2"/>
      <c r="D197" s="2"/>
    </row>
    <row r="198" ht="15.75" customHeight="1">
      <c r="A198" s="2"/>
      <c r="B198" s="2"/>
      <c r="C198" s="2"/>
      <c r="D198" s="2"/>
    </row>
    <row r="199" ht="15.75" customHeight="1">
      <c r="A199" s="2"/>
      <c r="B199" s="2"/>
      <c r="C199" s="2"/>
      <c r="D199" s="2"/>
    </row>
    <row r="200" ht="15.75" customHeight="1">
      <c r="A200" s="2"/>
      <c r="B200" s="2"/>
      <c r="C200" s="2"/>
      <c r="D200" s="2"/>
    </row>
    <row r="201" ht="15.75" customHeight="1">
      <c r="A201" s="2"/>
      <c r="B201" s="2"/>
      <c r="C201" s="2"/>
      <c r="D201" s="2"/>
    </row>
    <row r="202" ht="15.75" customHeight="1">
      <c r="A202" s="2"/>
      <c r="B202" s="2"/>
      <c r="C202" s="2"/>
      <c r="D202" s="2"/>
    </row>
    <row r="203" ht="15.75" customHeight="1">
      <c r="A203" s="2"/>
      <c r="B203" s="2"/>
      <c r="C203" s="2"/>
      <c r="D203" s="2"/>
    </row>
    <row r="204" ht="15.75" customHeight="1">
      <c r="A204" s="2"/>
      <c r="B204" s="2"/>
      <c r="C204" s="2"/>
      <c r="D204" s="2"/>
    </row>
    <row r="205" ht="15.75" customHeight="1">
      <c r="A205" s="2"/>
      <c r="B205" s="2"/>
      <c r="C205" s="2"/>
      <c r="D205" s="2"/>
    </row>
    <row r="206" ht="15.75" customHeight="1">
      <c r="A206" s="2"/>
      <c r="B206" s="2"/>
      <c r="C206" s="2"/>
      <c r="D206" s="2"/>
    </row>
    <row r="207" ht="15.75" customHeight="1">
      <c r="A207" s="2"/>
      <c r="B207" s="2"/>
      <c r="C207" s="2"/>
      <c r="D207" s="2"/>
    </row>
    <row r="208" ht="15.75" customHeight="1">
      <c r="A208" s="2"/>
      <c r="B208" s="2"/>
      <c r="C208" s="2"/>
      <c r="D208" s="2"/>
    </row>
    <row r="209" ht="15.75" customHeight="1">
      <c r="A209" s="2"/>
      <c r="B209" s="2"/>
      <c r="C209" s="2"/>
      <c r="D209" s="2"/>
    </row>
    <row r="210" ht="15.75" customHeight="1">
      <c r="A210" s="2"/>
      <c r="B210" s="2"/>
      <c r="C210" s="2"/>
      <c r="D210" s="2"/>
    </row>
    <row r="211" ht="15.75" customHeight="1">
      <c r="A211" s="2"/>
      <c r="B211" s="2"/>
      <c r="C211" s="2"/>
      <c r="D211" s="2"/>
    </row>
    <row r="212" ht="15.75" customHeight="1">
      <c r="A212" s="2"/>
      <c r="B212" s="2"/>
      <c r="C212" s="2"/>
      <c r="D212" s="2"/>
    </row>
    <row r="213" ht="15.75" customHeight="1">
      <c r="A213" s="2"/>
      <c r="B213" s="2"/>
      <c r="C213" s="2"/>
      <c r="D213" s="2"/>
    </row>
    <row r="214" ht="15.75" customHeight="1">
      <c r="A214" s="2"/>
      <c r="B214" s="2"/>
      <c r="C214" s="2"/>
      <c r="D214" s="2"/>
    </row>
    <row r="215" ht="15.75" customHeight="1">
      <c r="A215" s="2"/>
      <c r="B215" s="2"/>
      <c r="C215" s="2"/>
      <c r="D215" s="2"/>
    </row>
    <row r="216" ht="15.75" customHeight="1">
      <c r="A216" s="2"/>
      <c r="B216" s="2"/>
      <c r="C216" s="2"/>
      <c r="D216" s="2"/>
    </row>
    <row r="217" ht="15.75" customHeight="1">
      <c r="A217" s="2"/>
      <c r="B217" s="2"/>
      <c r="C217" s="2"/>
      <c r="D217" s="2"/>
    </row>
    <row r="218" ht="15.75" customHeight="1">
      <c r="A218" s="2"/>
      <c r="B218" s="2"/>
      <c r="C218" s="2"/>
      <c r="D218" s="2"/>
    </row>
    <row r="219" ht="15.75" customHeight="1">
      <c r="A219" s="2"/>
      <c r="B219" s="2"/>
      <c r="C219" s="2"/>
      <c r="D219" s="2"/>
    </row>
    <row r="220" ht="15.75" customHeight="1">
      <c r="A220" s="2"/>
      <c r="B220" s="2"/>
      <c r="C220" s="2"/>
      <c r="D220" s="2"/>
    </row>
    <row r="221" ht="15.75" customHeight="1">
      <c r="A221" s="2"/>
      <c r="B221" s="2"/>
      <c r="C221" s="2"/>
      <c r="D221" s="2"/>
    </row>
    <row r="222" ht="15.75" customHeight="1">
      <c r="A222" s="2"/>
      <c r="B222" s="2"/>
      <c r="C222" s="2"/>
      <c r="D222" s="2"/>
    </row>
    <row r="223" ht="15.75" customHeight="1">
      <c r="A223" s="2"/>
      <c r="B223" s="2"/>
      <c r="C223" s="2"/>
      <c r="D223" s="2"/>
    </row>
    <row r="224" ht="15.75" customHeight="1">
      <c r="A224" s="2"/>
      <c r="B224" s="2"/>
      <c r="C224" s="2"/>
      <c r="D224" s="2"/>
    </row>
    <row r="225" ht="15.75" customHeight="1">
      <c r="A225" s="2"/>
      <c r="B225" s="2"/>
      <c r="C225" s="2"/>
      <c r="D225" s="2"/>
    </row>
    <row r="226" ht="15.75" customHeight="1">
      <c r="A226" s="2"/>
      <c r="B226" s="2"/>
      <c r="C226" s="2"/>
      <c r="D226" s="2"/>
    </row>
    <row r="227" ht="15.75" customHeight="1">
      <c r="A227" s="2"/>
      <c r="B227" s="2"/>
      <c r="C227" s="2"/>
      <c r="D227" s="2"/>
    </row>
    <row r="228" ht="15.75" customHeight="1">
      <c r="A228" s="2"/>
      <c r="B228" s="2"/>
      <c r="C228" s="2"/>
      <c r="D228" s="2"/>
    </row>
    <row r="229" ht="15.75" customHeight="1">
      <c r="A229" s="2"/>
      <c r="B229" s="2"/>
      <c r="C229" s="2"/>
      <c r="D229" s="2"/>
    </row>
    <row r="230" ht="15.75" customHeight="1">
      <c r="A230" s="2"/>
      <c r="B230" s="2"/>
      <c r="C230" s="2"/>
      <c r="D230" s="2"/>
    </row>
    <row r="231" ht="15.75" customHeight="1">
      <c r="A231" s="2"/>
      <c r="B231" s="2"/>
      <c r="C231" s="2"/>
      <c r="D231" s="2"/>
    </row>
    <row r="232" ht="15.75" customHeight="1">
      <c r="A232" s="2"/>
      <c r="B232" s="2"/>
      <c r="C232" s="2"/>
      <c r="D232" s="2"/>
    </row>
    <row r="233" ht="15.75" customHeight="1">
      <c r="A233" s="2"/>
      <c r="B233" s="2"/>
      <c r="C233" s="2"/>
      <c r="D233" s="2"/>
    </row>
    <row r="234" ht="15.75" customHeight="1">
      <c r="A234" s="2"/>
      <c r="B234" s="2"/>
      <c r="C234" s="2"/>
      <c r="D234" s="2"/>
    </row>
    <row r="235" ht="15.75" customHeight="1">
      <c r="A235" s="2"/>
      <c r="B235" s="2"/>
      <c r="C235" s="2"/>
      <c r="D235" s="2"/>
    </row>
    <row r="236" ht="15.75" customHeight="1">
      <c r="A236" s="2"/>
      <c r="B236" s="2"/>
      <c r="C236" s="2"/>
      <c r="D236" s="2"/>
    </row>
    <row r="237" ht="15.75" customHeight="1">
      <c r="A237" s="2"/>
      <c r="B237" s="2"/>
      <c r="C237" s="2"/>
      <c r="D237" s="2"/>
    </row>
    <row r="238" ht="15.75" customHeight="1">
      <c r="A238" s="2"/>
      <c r="B238" s="2"/>
      <c r="C238" s="2"/>
      <c r="D238" s="2"/>
    </row>
    <row r="239" ht="15.75" customHeight="1">
      <c r="A239" s="2"/>
      <c r="B239" s="2"/>
      <c r="C239" s="2"/>
      <c r="D239" s="2"/>
    </row>
    <row r="240" ht="15.75" customHeight="1">
      <c r="A240" s="2"/>
      <c r="B240" s="2"/>
      <c r="C240" s="2"/>
      <c r="D240" s="2"/>
    </row>
    <row r="241" ht="15.75" customHeight="1">
      <c r="A241" s="2"/>
      <c r="B241" s="2"/>
      <c r="C241" s="2"/>
      <c r="D241" s="2"/>
    </row>
    <row r="242" ht="15.75" customHeight="1">
      <c r="A242" s="2"/>
      <c r="B242" s="2"/>
      <c r="C242" s="2"/>
      <c r="D242" s="2"/>
    </row>
    <row r="243" ht="15.75" customHeight="1">
      <c r="A243" s="2"/>
      <c r="B243" s="2"/>
      <c r="C243" s="2"/>
      <c r="D243" s="2"/>
    </row>
    <row r="244" ht="15.75" customHeight="1">
      <c r="A244" s="2"/>
      <c r="B244" s="2"/>
      <c r="C244" s="2"/>
      <c r="D244" s="2"/>
    </row>
    <row r="245" ht="15.75" customHeight="1">
      <c r="A245" s="2"/>
      <c r="B245" s="2"/>
      <c r="C245" s="2"/>
      <c r="D245" s="2"/>
    </row>
    <row r="246" ht="15.75" customHeight="1">
      <c r="A246" s="2"/>
      <c r="B246" s="2"/>
      <c r="C246" s="2"/>
      <c r="D246" s="2"/>
    </row>
    <row r="247" ht="15.75" customHeight="1">
      <c r="A247" s="2"/>
      <c r="B247" s="2"/>
      <c r="C247" s="2"/>
      <c r="D247" s="2"/>
    </row>
    <row r="248" ht="15.75" customHeight="1">
      <c r="A248" s="2"/>
      <c r="B248" s="2"/>
      <c r="C248" s="2"/>
      <c r="D248" s="2"/>
    </row>
    <row r="249" ht="15.75" customHeight="1">
      <c r="A249" s="2"/>
      <c r="B249" s="2"/>
      <c r="C249" s="2"/>
      <c r="D249" s="2"/>
    </row>
    <row r="250" ht="15.75" customHeight="1">
      <c r="A250" s="2"/>
      <c r="B250" s="2"/>
      <c r="C250" s="2"/>
      <c r="D250" s="2"/>
    </row>
    <row r="251" ht="15.75" customHeight="1">
      <c r="A251" s="2"/>
      <c r="B251" s="2"/>
      <c r="C251" s="2"/>
      <c r="D251" s="2"/>
    </row>
    <row r="252" ht="15.75" customHeight="1">
      <c r="A252" s="2"/>
      <c r="B252" s="2"/>
      <c r="C252" s="2"/>
      <c r="D252" s="2"/>
    </row>
    <row r="253" ht="15.75" customHeight="1">
      <c r="A253" s="2"/>
      <c r="B253" s="2"/>
      <c r="C253" s="2"/>
      <c r="D253" s="2"/>
    </row>
    <row r="254" ht="15.75" customHeight="1">
      <c r="A254" s="2"/>
      <c r="B254" s="2"/>
      <c r="C254" s="2"/>
      <c r="D254" s="2"/>
    </row>
    <row r="255" ht="15.75" customHeight="1">
      <c r="A255" s="2"/>
      <c r="B255" s="2"/>
      <c r="C255" s="2"/>
      <c r="D255" s="2"/>
    </row>
    <row r="256" ht="15.75" customHeight="1">
      <c r="A256" s="2"/>
      <c r="B256" s="2"/>
      <c r="C256" s="2"/>
      <c r="D256" s="2"/>
    </row>
    <row r="257" ht="15.75" customHeight="1">
      <c r="A257" s="2"/>
      <c r="B257" s="2"/>
      <c r="C257" s="2"/>
      <c r="D257" s="2"/>
    </row>
    <row r="258" ht="15.75" customHeight="1">
      <c r="A258" s="2"/>
      <c r="B258" s="2"/>
      <c r="C258" s="2"/>
      <c r="D258" s="2"/>
    </row>
    <row r="259" ht="15.75" customHeight="1">
      <c r="A259" s="2"/>
      <c r="B259" s="2"/>
      <c r="C259" s="2"/>
      <c r="D259" s="2"/>
    </row>
    <row r="260" ht="15.75" customHeight="1">
      <c r="A260" s="2"/>
      <c r="B260" s="2"/>
      <c r="C260" s="2"/>
      <c r="D260" s="2"/>
    </row>
    <row r="261" ht="15.75" customHeight="1">
      <c r="A261" s="2"/>
      <c r="B261" s="2"/>
      <c r="C261" s="2"/>
      <c r="D261" s="2"/>
    </row>
    <row r="262" ht="15.75" customHeight="1">
      <c r="A262" s="2"/>
      <c r="B262" s="2"/>
      <c r="C262" s="2"/>
      <c r="D262" s="2"/>
    </row>
    <row r="263" ht="15.75" customHeight="1">
      <c r="A263" s="2"/>
      <c r="B263" s="2"/>
      <c r="C263" s="2"/>
      <c r="D263" s="2"/>
    </row>
    <row r="264" ht="15.75" customHeight="1">
      <c r="A264" s="2"/>
      <c r="B264" s="2"/>
      <c r="C264" s="2"/>
      <c r="D264" s="2"/>
    </row>
    <row r="265" ht="15.75" customHeight="1">
      <c r="A265" s="2"/>
      <c r="B265" s="2"/>
      <c r="C265" s="2"/>
      <c r="D265" s="2"/>
    </row>
    <row r="266" ht="15.75" customHeight="1">
      <c r="A266" s="2"/>
      <c r="B266" s="2"/>
      <c r="C266" s="2"/>
      <c r="D266" s="2"/>
    </row>
    <row r="267" ht="15.75" customHeight="1">
      <c r="A267" s="2"/>
      <c r="B267" s="2"/>
      <c r="C267" s="2"/>
      <c r="D267" s="2"/>
    </row>
    <row r="268" ht="15.75" customHeight="1">
      <c r="A268" s="2"/>
      <c r="B268" s="2"/>
      <c r="C268" s="2"/>
      <c r="D268" s="2"/>
    </row>
    <row r="269" ht="15.75" customHeight="1">
      <c r="A269" s="2"/>
      <c r="B269" s="2"/>
      <c r="C269" s="2"/>
      <c r="D269" s="2"/>
    </row>
    <row r="270" ht="15.75" customHeight="1">
      <c r="A270" s="2"/>
      <c r="B270" s="2"/>
      <c r="C270" s="2"/>
      <c r="D270" s="2"/>
    </row>
    <row r="271" ht="15.75" customHeight="1">
      <c r="A271" s="2"/>
      <c r="B271" s="2"/>
      <c r="C271" s="2"/>
      <c r="D271" s="2"/>
    </row>
    <row r="272" ht="15.75" customHeight="1">
      <c r="A272" s="2"/>
      <c r="B272" s="2"/>
      <c r="C272" s="2"/>
      <c r="D272" s="2"/>
    </row>
    <row r="273" ht="15.75" customHeight="1">
      <c r="A273" s="2"/>
      <c r="B273" s="2"/>
      <c r="C273" s="2"/>
      <c r="D273" s="2"/>
    </row>
    <row r="274" ht="15.75" customHeight="1">
      <c r="A274" s="2"/>
      <c r="B274" s="2"/>
      <c r="C274" s="2"/>
      <c r="D274" s="2"/>
    </row>
    <row r="275" ht="15.75" customHeight="1">
      <c r="A275" s="2"/>
      <c r="B275" s="2"/>
      <c r="C275" s="2"/>
      <c r="D275" s="2"/>
    </row>
    <row r="276" ht="15.75" customHeight="1">
      <c r="A276" s="2"/>
      <c r="B276" s="2"/>
      <c r="C276" s="2"/>
      <c r="D276" s="2"/>
    </row>
    <row r="277" ht="15.75" customHeight="1">
      <c r="A277" s="2"/>
      <c r="B277" s="2"/>
      <c r="C277" s="2"/>
      <c r="D277" s="2"/>
    </row>
    <row r="278" ht="15.75" customHeight="1">
      <c r="A278" s="2"/>
      <c r="B278" s="2"/>
      <c r="C278" s="2"/>
      <c r="D278" s="2"/>
    </row>
    <row r="279" ht="15.75" customHeight="1">
      <c r="A279" s="2"/>
      <c r="B279" s="2"/>
      <c r="C279" s="2"/>
      <c r="D279" s="2"/>
    </row>
    <row r="280" ht="15.75" customHeight="1">
      <c r="A280" s="2"/>
      <c r="B280" s="2"/>
      <c r="C280" s="2"/>
      <c r="D280" s="2"/>
    </row>
    <row r="281" ht="15.75" customHeight="1">
      <c r="A281" s="2"/>
      <c r="B281" s="2"/>
      <c r="C281" s="2"/>
      <c r="D281" s="2"/>
    </row>
    <row r="282" ht="15.75" customHeight="1">
      <c r="A282" s="2"/>
      <c r="B282" s="2"/>
      <c r="C282" s="2"/>
      <c r="D282" s="2"/>
    </row>
    <row r="283" ht="15.75" customHeight="1">
      <c r="A283" s="2"/>
      <c r="B283" s="2"/>
      <c r="C283" s="2"/>
      <c r="D283" s="2"/>
    </row>
    <row r="284" ht="15.75" customHeight="1">
      <c r="A284" s="2"/>
      <c r="B284" s="2"/>
      <c r="C284" s="2"/>
      <c r="D284" s="2"/>
    </row>
    <row r="285" ht="15.75" customHeight="1">
      <c r="A285" s="2"/>
      <c r="B285" s="2"/>
      <c r="C285" s="2"/>
      <c r="D285" s="2"/>
    </row>
    <row r="286" ht="15.75" customHeight="1">
      <c r="A286" s="2"/>
      <c r="B286" s="2"/>
      <c r="C286" s="2"/>
      <c r="D286" s="2"/>
    </row>
    <row r="287" ht="15.75" customHeight="1">
      <c r="A287" s="2"/>
      <c r="B287" s="2"/>
      <c r="C287" s="2"/>
      <c r="D287" s="2"/>
    </row>
    <row r="288" ht="15.75" customHeight="1">
      <c r="A288" s="2"/>
      <c r="B288" s="2"/>
      <c r="C288" s="2"/>
      <c r="D288" s="2"/>
    </row>
    <row r="289" ht="15.75" customHeight="1">
      <c r="A289" s="2"/>
      <c r="B289" s="2"/>
      <c r="C289" s="2"/>
      <c r="D289" s="2"/>
    </row>
    <row r="290" ht="15.75" customHeight="1">
      <c r="A290" s="2"/>
      <c r="B290" s="2"/>
      <c r="C290" s="2"/>
      <c r="D290" s="2"/>
    </row>
    <row r="291" ht="15.75" customHeight="1">
      <c r="A291" s="2"/>
      <c r="B291" s="2"/>
      <c r="C291" s="2"/>
      <c r="D291" s="2"/>
    </row>
    <row r="292" ht="15.75" customHeight="1">
      <c r="A292" s="2"/>
      <c r="B292" s="2"/>
      <c r="C292" s="2"/>
      <c r="D292" s="2"/>
    </row>
    <row r="293" ht="15.75" customHeight="1">
      <c r="A293" s="2"/>
      <c r="B293" s="2"/>
      <c r="C293" s="2"/>
      <c r="D293" s="2"/>
    </row>
    <row r="294" ht="15.75" customHeight="1">
      <c r="A294" s="2"/>
      <c r="B294" s="2"/>
      <c r="C294" s="2"/>
      <c r="D294" s="2"/>
    </row>
    <row r="295" ht="15.75" customHeight="1">
      <c r="A295" s="2"/>
      <c r="B295" s="2"/>
      <c r="C295" s="2"/>
      <c r="D295" s="2"/>
    </row>
    <row r="296" ht="15.75" customHeight="1">
      <c r="A296" s="2"/>
      <c r="B296" s="2"/>
      <c r="C296" s="2"/>
      <c r="D296" s="2"/>
    </row>
    <row r="297" ht="15.75" customHeight="1">
      <c r="A297" s="2"/>
      <c r="B297" s="2"/>
      <c r="C297" s="2"/>
      <c r="D297" s="2"/>
    </row>
    <row r="298" ht="15.75" customHeight="1">
      <c r="A298" s="2"/>
      <c r="B298" s="2"/>
      <c r="C298" s="2"/>
      <c r="D298" s="2"/>
    </row>
    <row r="299" ht="15.75" customHeight="1">
      <c r="A299" s="2"/>
      <c r="B299" s="2"/>
      <c r="C299" s="2"/>
      <c r="D299" s="2"/>
    </row>
    <row r="300" ht="15.75" customHeight="1">
      <c r="A300" s="2"/>
      <c r="B300" s="2"/>
      <c r="C300" s="2"/>
      <c r="D300" s="2"/>
    </row>
    <row r="301" ht="15.75" customHeight="1">
      <c r="A301" s="2"/>
      <c r="B301" s="2"/>
      <c r="C301" s="2"/>
      <c r="D301" s="2"/>
    </row>
    <row r="302" ht="15.75" customHeight="1">
      <c r="A302" s="2"/>
      <c r="B302" s="2"/>
      <c r="C302" s="2"/>
      <c r="D302" s="2"/>
    </row>
    <row r="303" ht="15.75" customHeight="1">
      <c r="A303" s="2"/>
      <c r="B303" s="2"/>
      <c r="C303" s="2"/>
      <c r="D303" s="2"/>
    </row>
    <row r="304" ht="15.75" customHeight="1">
      <c r="A304" s="2"/>
      <c r="B304" s="2"/>
      <c r="C304" s="2"/>
      <c r="D304" s="2"/>
    </row>
    <row r="305" ht="15.75" customHeight="1">
      <c r="A305" s="2"/>
      <c r="B305" s="2"/>
      <c r="C305" s="2"/>
      <c r="D305" s="2"/>
    </row>
    <row r="306" ht="15.75" customHeight="1">
      <c r="A306" s="2"/>
      <c r="B306" s="2"/>
      <c r="C306" s="2"/>
      <c r="D306" s="2"/>
    </row>
    <row r="307" ht="15.75" customHeight="1">
      <c r="A307" s="2"/>
      <c r="B307" s="2"/>
      <c r="C307" s="2"/>
      <c r="D307" s="2"/>
    </row>
    <row r="308" ht="15.75" customHeight="1">
      <c r="A308" s="2"/>
      <c r="B308" s="2"/>
      <c r="C308" s="2"/>
      <c r="D308" s="2"/>
    </row>
    <row r="309" ht="15.75" customHeight="1">
      <c r="A309" s="2"/>
      <c r="B309" s="2"/>
      <c r="C309" s="2"/>
      <c r="D309" s="2"/>
    </row>
    <row r="310" ht="15.75" customHeight="1">
      <c r="A310" s="2"/>
      <c r="B310" s="2"/>
      <c r="C310" s="2"/>
      <c r="D310" s="2"/>
    </row>
    <row r="311" ht="15.75" customHeight="1">
      <c r="A311" s="2"/>
      <c r="B311" s="2"/>
      <c r="C311" s="2"/>
      <c r="D311" s="2"/>
    </row>
    <row r="312" ht="15.75" customHeight="1">
      <c r="A312" s="2"/>
      <c r="B312" s="2"/>
      <c r="C312" s="2"/>
      <c r="D312" s="2"/>
    </row>
    <row r="313" ht="15.75" customHeight="1">
      <c r="A313" s="2"/>
      <c r="B313" s="2"/>
      <c r="C313" s="2"/>
      <c r="D313" s="2"/>
    </row>
    <row r="314" ht="15.75" customHeight="1">
      <c r="A314" s="2"/>
      <c r="B314" s="2"/>
      <c r="C314" s="2"/>
      <c r="D314" s="2"/>
    </row>
    <row r="315" ht="15.75" customHeight="1">
      <c r="A315" s="2"/>
      <c r="B315" s="2"/>
      <c r="C315" s="2"/>
      <c r="D315" s="2"/>
    </row>
    <row r="316" ht="15.75" customHeight="1">
      <c r="A316" s="2"/>
      <c r="B316" s="2"/>
      <c r="C316" s="2"/>
      <c r="D316" s="2"/>
    </row>
    <row r="317" ht="15.75" customHeight="1">
      <c r="A317" s="2"/>
      <c r="B317" s="2"/>
      <c r="C317" s="2"/>
      <c r="D317" s="2"/>
    </row>
    <row r="318" ht="15.75" customHeight="1">
      <c r="A318" s="2"/>
      <c r="B318" s="2"/>
      <c r="C318" s="2"/>
      <c r="D318" s="2"/>
    </row>
    <row r="319" ht="15.75" customHeight="1">
      <c r="A319" s="2"/>
      <c r="B319" s="2"/>
      <c r="C319" s="2"/>
      <c r="D319" s="2"/>
    </row>
    <row r="320" ht="15.75" customHeight="1">
      <c r="A320" s="2"/>
      <c r="B320" s="2"/>
      <c r="C320" s="2"/>
      <c r="D320" s="2"/>
    </row>
    <row r="321" ht="15.75" customHeight="1">
      <c r="A321" s="2"/>
      <c r="B321" s="2"/>
      <c r="C321" s="2"/>
      <c r="D321" s="2"/>
    </row>
    <row r="322" ht="15.75" customHeight="1">
      <c r="A322" s="2"/>
      <c r="B322" s="2"/>
      <c r="C322" s="2"/>
      <c r="D322" s="2"/>
    </row>
    <row r="323" ht="15.75" customHeight="1">
      <c r="A323" s="2"/>
      <c r="B323" s="2"/>
      <c r="C323" s="2"/>
      <c r="D323" s="2"/>
    </row>
    <row r="324" ht="15.75" customHeight="1">
      <c r="A324" s="2"/>
      <c r="B324" s="2"/>
      <c r="C324" s="2"/>
      <c r="D324" s="2"/>
    </row>
    <row r="325" ht="15.75" customHeight="1">
      <c r="A325" s="2"/>
      <c r="B325" s="2"/>
      <c r="C325" s="2"/>
      <c r="D325" s="2"/>
    </row>
    <row r="326" ht="15.75" customHeight="1">
      <c r="A326" s="2"/>
      <c r="B326" s="2"/>
      <c r="C326" s="2"/>
      <c r="D326" s="2"/>
    </row>
    <row r="327" ht="15.75" customHeight="1">
      <c r="A327" s="2"/>
      <c r="B327" s="2"/>
      <c r="C327" s="2"/>
      <c r="D327" s="2"/>
    </row>
    <row r="328" ht="15.75" customHeight="1">
      <c r="A328" s="2"/>
      <c r="B328" s="2"/>
      <c r="C328" s="2"/>
      <c r="D328" s="2"/>
    </row>
    <row r="329" ht="15.75" customHeight="1">
      <c r="A329" s="2"/>
      <c r="B329" s="2"/>
      <c r="C329" s="2"/>
      <c r="D329" s="2"/>
    </row>
    <row r="330" ht="15.75" customHeight="1">
      <c r="A330" s="2"/>
      <c r="B330" s="2"/>
      <c r="C330" s="2"/>
      <c r="D330" s="2"/>
    </row>
    <row r="331" ht="15.75" customHeight="1">
      <c r="A331" s="2"/>
      <c r="B331" s="2"/>
      <c r="C331" s="2"/>
      <c r="D331" s="2"/>
    </row>
    <row r="332" ht="15.75" customHeight="1">
      <c r="A332" s="2"/>
      <c r="B332" s="2"/>
      <c r="C332" s="2"/>
      <c r="D332" s="2"/>
    </row>
    <row r="333" ht="15.75" customHeight="1">
      <c r="A333" s="2"/>
      <c r="B333" s="2"/>
      <c r="C333" s="2"/>
      <c r="D333" s="2"/>
    </row>
    <row r="334" ht="15.75" customHeight="1">
      <c r="A334" s="2"/>
      <c r="B334" s="2"/>
      <c r="C334" s="2"/>
      <c r="D334" s="2"/>
    </row>
    <row r="335" ht="15.75" customHeight="1">
      <c r="A335" s="2"/>
      <c r="B335" s="2"/>
      <c r="C335" s="2"/>
      <c r="D335" s="2"/>
    </row>
    <row r="336" ht="15.75" customHeight="1">
      <c r="A336" s="2"/>
      <c r="B336" s="2"/>
      <c r="C336" s="2"/>
      <c r="D336" s="2"/>
    </row>
    <row r="337" ht="15.75" customHeight="1">
      <c r="A337" s="2"/>
      <c r="B337" s="2"/>
      <c r="C337" s="2"/>
      <c r="D337" s="2"/>
    </row>
    <row r="338" ht="15.75" customHeight="1">
      <c r="A338" s="2"/>
      <c r="B338" s="2"/>
      <c r="C338" s="2"/>
      <c r="D338" s="2"/>
    </row>
    <row r="339" ht="15.75" customHeight="1">
      <c r="A339" s="2"/>
      <c r="B339" s="2"/>
      <c r="C339" s="2"/>
      <c r="D339" s="2"/>
    </row>
    <row r="340" ht="15.75" customHeight="1">
      <c r="A340" s="2"/>
      <c r="B340" s="2"/>
      <c r="C340" s="2"/>
      <c r="D340" s="2"/>
    </row>
    <row r="341" ht="15.75" customHeight="1">
      <c r="A341" s="2"/>
      <c r="B341" s="2"/>
      <c r="C341" s="2"/>
      <c r="D341" s="2"/>
    </row>
    <row r="342" ht="15.75" customHeight="1">
      <c r="A342" s="2"/>
      <c r="B342" s="2"/>
      <c r="C342" s="2"/>
      <c r="D342" s="2"/>
    </row>
    <row r="343" ht="15.75" customHeight="1">
      <c r="A343" s="2"/>
      <c r="B343" s="2"/>
      <c r="C343" s="2"/>
      <c r="D343" s="2"/>
    </row>
    <row r="344" ht="15.75" customHeight="1">
      <c r="A344" s="2"/>
      <c r="B344" s="2"/>
      <c r="C344" s="2"/>
      <c r="D344" s="2"/>
    </row>
    <row r="345" ht="15.75" customHeight="1">
      <c r="A345" s="2"/>
      <c r="B345" s="2"/>
      <c r="C345" s="2"/>
      <c r="D345" s="2"/>
    </row>
    <row r="346" ht="15.75" customHeight="1">
      <c r="A346" s="2"/>
      <c r="B346" s="2"/>
      <c r="C346" s="2"/>
      <c r="D346" s="2"/>
    </row>
    <row r="347" ht="15.75" customHeight="1">
      <c r="A347" s="2"/>
      <c r="B347" s="2"/>
      <c r="C347" s="2"/>
      <c r="D347" s="2"/>
    </row>
    <row r="348" ht="15.75" customHeight="1">
      <c r="A348" s="2"/>
      <c r="B348" s="2"/>
      <c r="C348" s="2"/>
      <c r="D348" s="2"/>
    </row>
    <row r="349" ht="15.75" customHeight="1">
      <c r="A349" s="2"/>
      <c r="B349" s="2"/>
      <c r="C349" s="2"/>
      <c r="D349" s="2"/>
    </row>
    <row r="350" ht="15.75" customHeight="1">
      <c r="A350" s="2"/>
      <c r="B350" s="2"/>
      <c r="C350" s="2"/>
      <c r="D350" s="2"/>
    </row>
    <row r="351" ht="15.75" customHeight="1">
      <c r="A351" s="2"/>
      <c r="B351" s="2"/>
      <c r="C351" s="2"/>
      <c r="D351" s="2"/>
    </row>
    <row r="352" ht="15.75" customHeight="1">
      <c r="A352" s="2"/>
      <c r="B352" s="2"/>
      <c r="C352" s="2"/>
      <c r="D352" s="2"/>
    </row>
    <row r="353" ht="15.75" customHeight="1">
      <c r="A353" s="2"/>
      <c r="B353" s="2"/>
      <c r="C353" s="2"/>
      <c r="D353" s="2"/>
    </row>
    <row r="354" ht="15.75" customHeight="1">
      <c r="A354" s="2"/>
      <c r="B354" s="2"/>
      <c r="C354" s="2"/>
      <c r="D354" s="2"/>
    </row>
    <row r="355" ht="15.75" customHeight="1">
      <c r="A355" s="2"/>
      <c r="B355" s="2"/>
      <c r="C355" s="2"/>
      <c r="D355" s="2"/>
    </row>
    <row r="356" ht="15.75" customHeight="1">
      <c r="A356" s="2"/>
      <c r="B356" s="2"/>
      <c r="C356" s="2"/>
      <c r="D356" s="2"/>
    </row>
    <row r="357" ht="15.75" customHeight="1">
      <c r="A357" s="2"/>
      <c r="B357" s="2"/>
      <c r="C357" s="2"/>
      <c r="D357" s="2"/>
    </row>
    <row r="358" ht="15.75" customHeight="1">
      <c r="A358" s="2"/>
      <c r="B358" s="2"/>
      <c r="C358" s="2"/>
      <c r="D358" s="2"/>
    </row>
    <row r="359" ht="15.75" customHeight="1">
      <c r="A359" s="2"/>
      <c r="B359" s="2"/>
      <c r="C359" s="2"/>
      <c r="D359" s="2"/>
    </row>
    <row r="360" ht="15.75" customHeight="1">
      <c r="A360" s="2"/>
      <c r="B360" s="2"/>
      <c r="C360" s="2"/>
      <c r="D360" s="2"/>
    </row>
    <row r="361" ht="15.75" customHeight="1">
      <c r="A361" s="2"/>
      <c r="B361" s="2"/>
      <c r="C361" s="2"/>
      <c r="D361" s="2"/>
    </row>
    <row r="362" ht="15.75" customHeight="1">
      <c r="A362" s="2"/>
      <c r="B362" s="2"/>
      <c r="C362" s="2"/>
      <c r="D362" s="2"/>
    </row>
    <row r="363" ht="15.75" customHeight="1">
      <c r="A363" s="2"/>
      <c r="B363" s="2"/>
      <c r="C363" s="2"/>
      <c r="D363" s="2"/>
    </row>
    <row r="364" ht="15.75" customHeight="1">
      <c r="A364" s="2"/>
      <c r="B364" s="2"/>
      <c r="C364" s="2"/>
      <c r="D364" s="2"/>
    </row>
    <row r="365" ht="15.75" customHeight="1">
      <c r="A365" s="2"/>
      <c r="B365" s="2"/>
      <c r="C365" s="2"/>
      <c r="D365" s="2"/>
    </row>
    <row r="366" ht="15.75" customHeight="1">
      <c r="A366" s="2"/>
      <c r="B366" s="2"/>
      <c r="C366" s="2"/>
      <c r="D366" s="2"/>
    </row>
    <row r="367" ht="15.75" customHeight="1">
      <c r="A367" s="2"/>
      <c r="B367" s="2"/>
      <c r="C367" s="2"/>
      <c r="D367" s="2"/>
    </row>
    <row r="368" ht="15.75" customHeight="1">
      <c r="A368" s="2"/>
      <c r="B368" s="2"/>
      <c r="C368" s="2"/>
      <c r="D368" s="2"/>
    </row>
    <row r="369" ht="15.75" customHeight="1">
      <c r="A369" s="2"/>
      <c r="B369" s="2"/>
      <c r="C369" s="2"/>
      <c r="D369" s="2"/>
    </row>
    <row r="370" ht="15.75" customHeight="1">
      <c r="A370" s="2"/>
      <c r="B370" s="2"/>
      <c r="C370" s="2"/>
      <c r="D370" s="2"/>
    </row>
    <row r="371" ht="15.75" customHeight="1">
      <c r="A371" s="2"/>
      <c r="B371" s="2"/>
      <c r="C371" s="2"/>
      <c r="D371" s="2"/>
    </row>
    <row r="372" ht="15.75" customHeight="1">
      <c r="A372" s="2"/>
      <c r="B372" s="2"/>
      <c r="C372" s="2"/>
      <c r="D372" s="2"/>
    </row>
    <row r="373" ht="15.75" customHeight="1">
      <c r="A373" s="2"/>
      <c r="B373" s="2"/>
      <c r="C373" s="2"/>
      <c r="D373" s="2"/>
    </row>
    <row r="374" ht="15.75" customHeight="1">
      <c r="A374" s="2"/>
      <c r="B374" s="2"/>
      <c r="C374" s="2"/>
      <c r="D374" s="2"/>
    </row>
    <row r="375" ht="15.75" customHeight="1">
      <c r="A375" s="2"/>
      <c r="B375" s="2"/>
      <c r="C375" s="2"/>
      <c r="D375" s="2"/>
    </row>
    <row r="376" ht="15.75" customHeight="1">
      <c r="A376" s="2"/>
      <c r="B376" s="2"/>
      <c r="C376" s="2"/>
      <c r="D376" s="2"/>
    </row>
    <row r="377" ht="15.75" customHeight="1">
      <c r="A377" s="2"/>
      <c r="B377" s="2"/>
      <c r="C377" s="2"/>
      <c r="D377" s="2"/>
    </row>
    <row r="378" ht="15.75" customHeight="1">
      <c r="A378" s="2"/>
      <c r="B378" s="2"/>
      <c r="C378" s="2"/>
      <c r="D378" s="2"/>
    </row>
    <row r="379" ht="15.75" customHeight="1">
      <c r="A379" s="2"/>
      <c r="B379" s="2"/>
      <c r="C379" s="2"/>
      <c r="D379" s="2"/>
    </row>
    <row r="380" ht="15.75" customHeight="1">
      <c r="A380" s="2"/>
      <c r="B380" s="2"/>
      <c r="C380" s="2"/>
      <c r="D380" s="2"/>
    </row>
    <row r="381" ht="15.75" customHeight="1">
      <c r="A381" s="2"/>
      <c r="B381" s="2"/>
      <c r="C381" s="2"/>
      <c r="D381" s="2"/>
    </row>
    <row r="382" ht="15.75" customHeight="1">
      <c r="A382" s="2"/>
      <c r="B382" s="2"/>
      <c r="C382" s="2"/>
      <c r="D382" s="2"/>
    </row>
    <row r="383" ht="15.75" customHeight="1">
      <c r="A383" s="2"/>
      <c r="B383" s="2"/>
      <c r="C383" s="2"/>
      <c r="D383" s="2"/>
    </row>
    <row r="384" ht="15.75" customHeight="1">
      <c r="A384" s="2"/>
      <c r="B384" s="2"/>
      <c r="C384" s="2"/>
      <c r="D384" s="2"/>
    </row>
    <row r="385" ht="15.75" customHeight="1">
      <c r="A385" s="2"/>
      <c r="B385" s="2"/>
      <c r="C385" s="2"/>
      <c r="D385" s="2"/>
    </row>
    <row r="386" ht="15.75" customHeight="1">
      <c r="A386" s="2"/>
      <c r="B386" s="2"/>
      <c r="C386" s="2"/>
      <c r="D386" s="2"/>
    </row>
    <row r="387" ht="15.75" customHeight="1">
      <c r="A387" s="2"/>
      <c r="B387" s="2"/>
      <c r="C387" s="2"/>
      <c r="D387" s="2"/>
    </row>
    <row r="388" ht="15.75" customHeight="1">
      <c r="A388" s="2"/>
      <c r="B388" s="2"/>
      <c r="C388" s="2"/>
      <c r="D388" s="2"/>
    </row>
    <row r="389" ht="15.75" customHeight="1">
      <c r="A389" s="2"/>
      <c r="B389" s="2"/>
      <c r="C389" s="2"/>
      <c r="D389" s="2"/>
    </row>
    <row r="390" ht="15.75" customHeight="1">
      <c r="A390" s="2"/>
      <c r="B390" s="2"/>
      <c r="C390" s="2"/>
      <c r="D390" s="2"/>
    </row>
    <row r="391" ht="15.75" customHeight="1">
      <c r="A391" s="2"/>
      <c r="B391" s="2"/>
      <c r="C391" s="2"/>
      <c r="D391" s="2"/>
    </row>
    <row r="392" ht="15.75" customHeight="1">
      <c r="A392" s="2"/>
      <c r="B392" s="2"/>
      <c r="C392" s="2"/>
      <c r="D392" s="2"/>
    </row>
    <row r="393" ht="15.75" customHeight="1">
      <c r="A393" s="2"/>
      <c r="B393" s="2"/>
      <c r="C393" s="2"/>
      <c r="D393" s="2"/>
    </row>
    <row r="394" ht="15.75" customHeight="1">
      <c r="A394" s="2"/>
      <c r="B394" s="2"/>
      <c r="C394" s="2"/>
      <c r="D394" s="2"/>
    </row>
    <row r="395" ht="15.75" customHeight="1">
      <c r="A395" s="2"/>
      <c r="B395" s="2"/>
      <c r="C395" s="2"/>
      <c r="D395" s="2"/>
    </row>
    <row r="396" ht="15.75" customHeight="1">
      <c r="A396" s="2"/>
      <c r="B396" s="2"/>
      <c r="C396" s="2"/>
      <c r="D396" s="2"/>
    </row>
    <row r="397" ht="15.75" customHeight="1">
      <c r="A397" s="2"/>
      <c r="B397" s="2"/>
      <c r="C397" s="2"/>
      <c r="D397" s="2"/>
    </row>
    <row r="398" ht="15.75" customHeight="1">
      <c r="A398" s="2"/>
      <c r="B398" s="2"/>
      <c r="C398" s="2"/>
      <c r="D398" s="2"/>
    </row>
    <row r="399" ht="15.75" customHeight="1">
      <c r="A399" s="2"/>
      <c r="B399" s="2"/>
      <c r="C399" s="2"/>
      <c r="D399" s="2"/>
    </row>
    <row r="400" ht="15.75" customHeight="1">
      <c r="A400" s="2"/>
      <c r="B400" s="2"/>
      <c r="C400" s="2"/>
      <c r="D400" s="2"/>
    </row>
    <row r="401" ht="15.75" customHeight="1">
      <c r="A401" s="2"/>
      <c r="B401" s="2"/>
      <c r="C401" s="2"/>
      <c r="D401" s="2"/>
    </row>
    <row r="402" ht="15.75" customHeight="1">
      <c r="A402" s="2"/>
      <c r="B402" s="2"/>
      <c r="C402" s="2"/>
      <c r="D402" s="2"/>
    </row>
    <row r="403" ht="15.75" customHeight="1">
      <c r="A403" s="2"/>
      <c r="B403" s="2"/>
      <c r="C403" s="2"/>
      <c r="D403" s="2"/>
    </row>
    <row r="404" ht="15.75" customHeight="1">
      <c r="A404" s="2"/>
      <c r="B404" s="2"/>
      <c r="C404" s="2"/>
      <c r="D404" s="2"/>
    </row>
    <row r="405" ht="15.75" customHeight="1">
      <c r="A405" s="2"/>
      <c r="B405" s="2"/>
      <c r="C405" s="2"/>
      <c r="D405" s="2"/>
    </row>
    <row r="406" ht="15.75" customHeight="1">
      <c r="A406" s="2"/>
      <c r="B406" s="2"/>
      <c r="C406" s="2"/>
      <c r="D406" s="2"/>
    </row>
    <row r="407" ht="15.75" customHeight="1">
      <c r="A407" s="2"/>
      <c r="B407" s="2"/>
      <c r="C407" s="2"/>
      <c r="D407" s="2"/>
    </row>
    <row r="408" ht="15.75" customHeight="1">
      <c r="A408" s="2"/>
      <c r="B408" s="2"/>
      <c r="C408" s="2"/>
      <c r="D408" s="2"/>
    </row>
    <row r="409" ht="15.75" customHeight="1">
      <c r="A409" s="2"/>
      <c r="B409" s="2"/>
      <c r="C409" s="2"/>
      <c r="D409" s="2"/>
    </row>
    <row r="410" ht="15.75" customHeight="1">
      <c r="A410" s="2"/>
      <c r="B410" s="2"/>
      <c r="C410" s="2"/>
      <c r="D410" s="2"/>
    </row>
    <row r="411" ht="15.75" customHeight="1">
      <c r="A411" s="2"/>
      <c r="B411" s="2"/>
      <c r="C411" s="2"/>
      <c r="D411" s="2"/>
    </row>
    <row r="412" ht="15.75" customHeight="1">
      <c r="A412" s="2"/>
      <c r="B412" s="2"/>
      <c r="C412" s="2"/>
      <c r="D412" s="2"/>
    </row>
    <row r="413" ht="15.75" customHeight="1">
      <c r="A413" s="2"/>
      <c r="B413" s="2"/>
      <c r="C413" s="2"/>
      <c r="D413" s="2"/>
    </row>
    <row r="414" ht="15.75" customHeight="1">
      <c r="A414" s="2"/>
      <c r="B414" s="2"/>
      <c r="C414" s="2"/>
      <c r="D414" s="2"/>
    </row>
    <row r="415" ht="15.75" customHeight="1">
      <c r="A415" s="2"/>
      <c r="B415" s="2"/>
      <c r="C415" s="2"/>
      <c r="D415" s="2"/>
    </row>
    <row r="416" ht="15.75" customHeight="1">
      <c r="A416" s="2"/>
      <c r="B416" s="2"/>
      <c r="C416" s="2"/>
      <c r="D416" s="2"/>
    </row>
    <row r="417" ht="15.75" customHeight="1">
      <c r="A417" s="2"/>
      <c r="B417" s="2"/>
      <c r="C417" s="2"/>
      <c r="D417" s="2"/>
    </row>
    <row r="418" ht="15.75" customHeight="1">
      <c r="A418" s="2"/>
      <c r="B418" s="2"/>
      <c r="C418" s="2"/>
      <c r="D418" s="2"/>
    </row>
    <row r="419" ht="15.75" customHeight="1">
      <c r="A419" s="2"/>
      <c r="B419" s="2"/>
      <c r="C419" s="2"/>
      <c r="D419" s="2"/>
    </row>
    <row r="420" ht="15.75" customHeight="1">
      <c r="A420" s="2"/>
      <c r="B420" s="2"/>
      <c r="C420" s="2"/>
      <c r="D420" s="2"/>
    </row>
    <row r="421" ht="15.75" customHeight="1">
      <c r="A421" s="2"/>
      <c r="B421" s="2"/>
      <c r="C421" s="2"/>
      <c r="D421" s="2"/>
    </row>
    <row r="422" ht="15.75" customHeight="1">
      <c r="A422" s="2"/>
      <c r="B422" s="2"/>
      <c r="C422" s="2"/>
      <c r="D422" s="2"/>
    </row>
    <row r="423" ht="15.75" customHeight="1">
      <c r="A423" s="2"/>
      <c r="B423" s="2"/>
      <c r="C423" s="2"/>
      <c r="D423" s="2"/>
    </row>
    <row r="424" ht="15.75" customHeight="1">
      <c r="A424" s="2"/>
      <c r="B424" s="2"/>
      <c r="C424" s="2"/>
      <c r="D424" s="2"/>
    </row>
    <row r="425" ht="15.75" customHeight="1">
      <c r="A425" s="2"/>
      <c r="B425" s="2"/>
      <c r="C425" s="2"/>
      <c r="D425" s="2"/>
    </row>
    <row r="426" ht="15.75" customHeight="1">
      <c r="A426" s="2"/>
      <c r="B426" s="2"/>
      <c r="C426" s="2"/>
      <c r="D426" s="2"/>
    </row>
    <row r="427" ht="15.75" customHeight="1">
      <c r="A427" s="2"/>
      <c r="B427" s="2"/>
      <c r="C427" s="2"/>
      <c r="D427" s="2"/>
    </row>
    <row r="428" ht="15.75" customHeight="1">
      <c r="A428" s="2"/>
      <c r="B428" s="2"/>
      <c r="C428" s="2"/>
      <c r="D428" s="2"/>
    </row>
    <row r="429" ht="15.75" customHeight="1">
      <c r="A429" s="2"/>
      <c r="B429" s="2"/>
      <c r="C429" s="2"/>
      <c r="D429" s="2"/>
    </row>
    <row r="430" ht="15.75" customHeight="1">
      <c r="A430" s="2"/>
      <c r="B430" s="2"/>
      <c r="C430" s="2"/>
      <c r="D430" s="2"/>
    </row>
    <row r="431" ht="15.75" customHeight="1">
      <c r="A431" s="2"/>
      <c r="B431" s="2"/>
      <c r="C431" s="2"/>
      <c r="D431" s="2"/>
    </row>
    <row r="432" ht="15.75" customHeight="1">
      <c r="A432" s="2"/>
      <c r="B432" s="2"/>
      <c r="C432" s="2"/>
      <c r="D432" s="2"/>
    </row>
    <row r="433" ht="15.75" customHeight="1">
      <c r="A433" s="2"/>
      <c r="B433" s="2"/>
      <c r="C433" s="2"/>
      <c r="D433" s="2"/>
    </row>
    <row r="434" ht="15.75" customHeight="1">
      <c r="A434" s="2"/>
      <c r="B434" s="2"/>
      <c r="C434" s="2"/>
      <c r="D434" s="2"/>
    </row>
    <row r="435" ht="15.75" customHeight="1">
      <c r="A435" s="2"/>
      <c r="B435" s="2"/>
      <c r="C435" s="2"/>
      <c r="D435" s="2"/>
    </row>
    <row r="436" ht="15.75" customHeight="1">
      <c r="A436" s="2"/>
      <c r="B436" s="2"/>
      <c r="C436" s="2"/>
      <c r="D436" s="2"/>
    </row>
    <row r="437" ht="15.75" customHeight="1">
      <c r="A437" s="2"/>
      <c r="B437" s="2"/>
      <c r="C437" s="2"/>
      <c r="D437" s="2"/>
    </row>
    <row r="438" ht="15.75" customHeight="1">
      <c r="A438" s="2"/>
      <c r="B438" s="2"/>
      <c r="C438" s="2"/>
      <c r="D438" s="2"/>
    </row>
    <row r="439" ht="15.75" customHeight="1">
      <c r="A439" s="2"/>
      <c r="B439" s="2"/>
      <c r="C439" s="2"/>
      <c r="D439" s="2"/>
    </row>
    <row r="440" ht="15.75" customHeight="1">
      <c r="A440" s="2"/>
      <c r="B440" s="2"/>
      <c r="C440" s="2"/>
      <c r="D440" s="2"/>
    </row>
    <row r="441" ht="15.75" customHeight="1">
      <c r="A441" s="2"/>
      <c r="B441" s="2"/>
      <c r="C441" s="2"/>
      <c r="D441" s="2"/>
    </row>
    <row r="442" ht="15.75" customHeight="1">
      <c r="A442" s="2"/>
      <c r="B442" s="2"/>
      <c r="C442" s="2"/>
      <c r="D442" s="2"/>
    </row>
    <row r="443" ht="15.75" customHeight="1">
      <c r="A443" s="2"/>
      <c r="B443" s="2"/>
      <c r="C443" s="2"/>
      <c r="D443" s="2"/>
    </row>
    <row r="444" ht="15.75" customHeight="1">
      <c r="A444" s="2"/>
      <c r="B444" s="2"/>
      <c r="C444" s="2"/>
      <c r="D444" s="2"/>
    </row>
    <row r="445" ht="15.75" customHeight="1">
      <c r="A445" s="2"/>
      <c r="B445" s="2"/>
      <c r="C445" s="2"/>
      <c r="D445" s="2"/>
    </row>
    <row r="446" ht="15.75" customHeight="1">
      <c r="A446" s="2"/>
      <c r="B446" s="2"/>
      <c r="C446" s="2"/>
      <c r="D446" s="2"/>
    </row>
    <row r="447" ht="15.75" customHeight="1">
      <c r="A447" s="2"/>
      <c r="B447" s="2"/>
      <c r="C447" s="2"/>
      <c r="D447" s="2"/>
    </row>
    <row r="448" ht="15.75" customHeight="1">
      <c r="A448" s="2"/>
      <c r="B448" s="2"/>
      <c r="C448" s="2"/>
      <c r="D448" s="2"/>
    </row>
    <row r="449" ht="15.75" customHeight="1">
      <c r="A449" s="2"/>
      <c r="B449" s="2"/>
      <c r="C449" s="2"/>
      <c r="D449" s="2"/>
    </row>
    <row r="450" ht="15.75" customHeight="1">
      <c r="A450" s="2"/>
      <c r="B450" s="2"/>
      <c r="C450" s="2"/>
      <c r="D450" s="2"/>
    </row>
    <row r="451" ht="15.75" customHeight="1">
      <c r="A451" s="2"/>
      <c r="B451" s="2"/>
      <c r="C451" s="2"/>
      <c r="D451" s="2"/>
    </row>
    <row r="452" ht="15.75" customHeight="1">
      <c r="A452" s="2"/>
      <c r="B452" s="2"/>
      <c r="C452" s="2"/>
      <c r="D452" s="2"/>
    </row>
    <row r="453" ht="15.75" customHeight="1">
      <c r="A453" s="2"/>
      <c r="B453" s="2"/>
      <c r="C453" s="2"/>
      <c r="D453" s="2"/>
    </row>
    <row r="454" ht="15.75" customHeight="1">
      <c r="A454" s="2"/>
      <c r="B454" s="2"/>
      <c r="C454" s="2"/>
      <c r="D454" s="2"/>
    </row>
    <row r="455" ht="15.75" customHeight="1">
      <c r="A455" s="2"/>
      <c r="B455" s="2"/>
      <c r="C455" s="2"/>
      <c r="D455" s="2"/>
    </row>
    <row r="456" ht="15.75" customHeight="1">
      <c r="A456" s="2"/>
      <c r="B456" s="2"/>
      <c r="C456" s="2"/>
      <c r="D456" s="2"/>
    </row>
    <row r="457" ht="15.75" customHeight="1">
      <c r="A457" s="2"/>
      <c r="B457" s="2"/>
      <c r="C457" s="2"/>
      <c r="D457" s="2"/>
    </row>
    <row r="458" ht="15.75" customHeight="1">
      <c r="A458" s="2"/>
      <c r="B458" s="2"/>
      <c r="C458" s="2"/>
      <c r="D458" s="2"/>
    </row>
    <row r="459" ht="15.75" customHeight="1">
      <c r="A459" s="2"/>
      <c r="B459" s="2"/>
      <c r="C459" s="2"/>
      <c r="D459" s="2"/>
    </row>
    <row r="460" ht="15.75" customHeight="1">
      <c r="A460" s="2"/>
      <c r="B460" s="2"/>
      <c r="C460" s="2"/>
      <c r="D460" s="2"/>
    </row>
    <row r="461" ht="15.75" customHeight="1">
      <c r="A461" s="2"/>
      <c r="B461" s="2"/>
      <c r="C461" s="2"/>
      <c r="D461" s="2"/>
    </row>
    <row r="462" ht="15.75" customHeight="1">
      <c r="A462" s="2"/>
      <c r="B462" s="2"/>
      <c r="C462" s="2"/>
      <c r="D462" s="2"/>
    </row>
    <row r="463" ht="15.75" customHeight="1">
      <c r="A463" s="2"/>
      <c r="B463" s="2"/>
      <c r="C463" s="2"/>
      <c r="D463" s="2"/>
    </row>
    <row r="464" ht="15.75" customHeight="1">
      <c r="A464" s="2"/>
      <c r="B464" s="2"/>
      <c r="C464" s="2"/>
      <c r="D464" s="2"/>
    </row>
    <row r="465" ht="15.75" customHeight="1">
      <c r="A465" s="2"/>
      <c r="B465" s="2"/>
      <c r="C465" s="2"/>
      <c r="D465" s="2"/>
    </row>
    <row r="466" ht="15.75" customHeight="1">
      <c r="A466" s="2"/>
      <c r="B466" s="2"/>
      <c r="C466" s="2"/>
      <c r="D466" s="2"/>
    </row>
    <row r="467" ht="15.75" customHeight="1">
      <c r="A467" s="2"/>
      <c r="B467" s="2"/>
      <c r="C467" s="2"/>
      <c r="D467" s="2"/>
    </row>
    <row r="468" ht="15.75" customHeight="1">
      <c r="A468" s="2"/>
      <c r="B468" s="2"/>
      <c r="C468" s="2"/>
      <c r="D468" s="2"/>
    </row>
    <row r="469" ht="15.75" customHeight="1">
      <c r="A469" s="2"/>
      <c r="B469" s="2"/>
      <c r="C469" s="2"/>
      <c r="D469" s="2"/>
    </row>
    <row r="470" ht="15.75" customHeight="1">
      <c r="A470" s="2"/>
      <c r="B470" s="2"/>
      <c r="C470" s="2"/>
      <c r="D470" s="2"/>
    </row>
    <row r="471" ht="15.75" customHeight="1">
      <c r="A471" s="2"/>
      <c r="B471" s="2"/>
      <c r="C471" s="2"/>
      <c r="D471" s="2"/>
    </row>
    <row r="472" ht="15.75" customHeight="1">
      <c r="A472" s="2"/>
      <c r="B472" s="2"/>
      <c r="C472" s="2"/>
      <c r="D472" s="2"/>
    </row>
    <row r="473" ht="15.75" customHeight="1">
      <c r="A473" s="2"/>
      <c r="B473" s="2"/>
      <c r="C473" s="2"/>
      <c r="D473" s="2"/>
    </row>
    <row r="474" ht="15.75" customHeight="1">
      <c r="A474" s="2"/>
      <c r="B474" s="2"/>
      <c r="C474" s="2"/>
      <c r="D474" s="2"/>
    </row>
    <row r="475" ht="15.75" customHeight="1">
      <c r="A475" s="2"/>
      <c r="B475" s="2"/>
      <c r="C475" s="2"/>
      <c r="D475" s="2"/>
    </row>
    <row r="476" ht="15.75" customHeight="1">
      <c r="A476" s="2"/>
      <c r="B476" s="2"/>
      <c r="C476" s="2"/>
      <c r="D476" s="2"/>
    </row>
    <row r="477" ht="15.75" customHeight="1">
      <c r="A477" s="2"/>
      <c r="B477" s="2"/>
      <c r="C477" s="2"/>
      <c r="D477" s="2"/>
    </row>
    <row r="478" ht="15.75" customHeight="1">
      <c r="A478" s="2"/>
      <c r="B478" s="2"/>
      <c r="C478" s="2"/>
      <c r="D478" s="2"/>
    </row>
    <row r="479" ht="15.75" customHeight="1">
      <c r="A479" s="2"/>
      <c r="B479" s="2"/>
      <c r="C479" s="2"/>
      <c r="D479" s="2"/>
    </row>
    <row r="480" ht="15.75" customHeight="1">
      <c r="A480" s="2"/>
      <c r="B480" s="2"/>
      <c r="C480" s="2"/>
      <c r="D480" s="2"/>
    </row>
    <row r="481" ht="15.75" customHeight="1">
      <c r="A481" s="2"/>
      <c r="B481" s="2"/>
      <c r="C481" s="2"/>
      <c r="D481" s="2"/>
    </row>
    <row r="482" ht="15.75" customHeight="1">
      <c r="A482" s="2"/>
      <c r="B482" s="2"/>
      <c r="C482" s="2"/>
      <c r="D482" s="2"/>
    </row>
    <row r="483" ht="15.75" customHeight="1">
      <c r="A483" s="2"/>
      <c r="B483" s="2"/>
      <c r="C483" s="2"/>
      <c r="D483" s="2"/>
    </row>
    <row r="484" ht="15.75" customHeight="1">
      <c r="A484" s="2"/>
      <c r="B484" s="2"/>
      <c r="C484" s="2"/>
      <c r="D484" s="2"/>
    </row>
    <row r="485" ht="15.75" customHeight="1">
      <c r="A485" s="2"/>
      <c r="B485" s="2"/>
      <c r="C485" s="2"/>
      <c r="D485" s="2"/>
    </row>
    <row r="486" ht="15.75" customHeight="1">
      <c r="A486" s="2"/>
      <c r="B486" s="2"/>
      <c r="C486" s="2"/>
      <c r="D486" s="2"/>
    </row>
    <row r="487" ht="15.75" customHeight="1">
      <c r="A487" s="2"/>
      <c r="B487" s="2"/>
      <c r="C487" s="2"/>
      <c r="D487" s="2"/>
    </row>
    <row r="488" ht="15.75" customHeight="1">
      <c r="A488" s="2"/>
      <c r="B488" s="2"/>
      <c r="C488" s="2"/>
      <c r="D488" s="2"/>
    </row>
    <row r="489" ht="15.75" customHeight="1">
      <c r="A489" s="2"/>
      <c r="B489" s="2"/>
      <c r="C489" s="2"/>
      <c r="D489" s="2"/>
    </row>
    <row r="490" ht="15.75" customHeight="1">
      <c r="A490" s="2"/>
      <c r="B490" s="2"/>
      <c r="C490" s="2"/>
      <c r="D490" s="2"/>
    </row>
    <row r="491" ht="15.75" customHeight="1">
      <c r="A491" s="2"/>
      <c r="B491" s="2"/>
      <c r="C491" s="2"/>
      <c r="D491" s="2"/>
    </row>
    <row r="492" ht="15.75" customHeight="1">
      <c r="A492" s="2"/>
      <c r="B492" s="2"/>
      <c r="C492" s="2"/>
      <c r="D492" s="2"/>
    </row>
    <row r="493" ht="15.75" customHeight="1">
      <c r="A493" s="2"/>
      <c r="B493" s="2"/>
      <c r="C493" s="2"/>
      <c r="D493" s="2"/>
    </row>
    <row r="494" ht="15.75" customHeight="1">
      <c r="A494" s="2"/>
      <c r="B494" s="2"/>
      <c r="C494" s="2"/>
      <c r="D494" s="2"/>
    </row>
    <row r="495" ht="15.75" customHeight="1">
      <c r="A495" s="2"/>
      <c r="B495" s="2"/>
      <c r="C495" s="2"/>
      <c r="D495" s="2"/>
    </row>
    <row r="496" ht="15.75" customHeight="1">
      <c r="A496" s="2"/>
      <c r="B496" s="2"/>
      <c r="C496" s="2"/>
      <c r="D496" s="2"/>
    </row>
    <row r="497" ht="15.75" customHeight="1">
      <c r="A497" s="2"/>
      <c r="B497" s="2"/>
      <c r="C497" s="2"/>
      <c r="D497" s="2"/>
    </row>
    <row r="498" ht="15.75" customHeight="1">
      <c r="A498" s="2"/>
      <c r="B498" s="2"/>
      <c r="C498" s="2"/>
      <c r="D498" s="2"/>
    </row>
    <row r="499" ht="15.75" customHeight="1">
      <c r="A499" s="2"/>
      <c r="B499" s="2"/>
      <c r="C499" s="2"/>
      <c r="D499" s="2"/>
    </row>
    <row r="500" ht="15.75" customHeight="1">
      <c r="A500" s="2"/>
      <c r="B500" s="2"/>
      <c r="C500" s="2"/>
      <c r="D500" s="2"/>
    </row>
    <row r="501" ht="15.75" customHeight="1">
      <c r="A501" s="2"/>
      <c r="B501" s="2"/>
      <c r="C501" s="2"/>
      <c r="D501" s="2"/>
    </row>
    <row r="502" ht="15.75" customHeight="1">
      <c r="A502" s="2"/>
      <c r="B502" s="2"/>
      <c r="C502" s="2"/>
      <c r="D502" s="2"/>
    </row>
    <row r="503" ht="15.75" customHeight="1">
      <c r="A503" s="2"/>
      <c r="B503" s="2"/>
      <c r="C503" s="2"/>
      <c r="D503" s="2"/>
    </row>
    <row r="504" ht="15.75" customHeight="1">
      <c r="A504" s="2"/>
      <c r="B504" s="2"/>
      <c r="C504" s="2"/>
      <c r="D504" s="2"/>
    </row>
    <row r="505" ht="15.75" customHeight="1">
      <c r="A505" s="2"/>
      <c r="B505" s="2"/>
      <c r="C505" s="2"/>
      <c r="D505" s="2"/>
    </row>
    <row r="506" ht="15.75" customHeight="1">
      <c r="A506" s="2"/>
      <c r="B506" s="2"/>
      <c r="C506" s="2"/>
      <c r="D506" s="2"/>
    </row>
    <row r="507" ht="15.75" customHeight="1">
      <c r="A507" s="2"/>
      <c r="B507" s="2"/>
      <c r="C507" s="2"/>
      <c r="D507" s="2"/>
    </row>
    <row r="508" ht="15.75" customHeight="1">
      <c r="A508" s="2"/>
      <c r="B508" s="2"/>
      <c r="C508" s="2"/>
      <c r="D508" s="2"/>
    </row>
    <row r="509" ht="15.75" customHeight="1">
      <c r="A509" s="2"/>
      <c r="B509" s="2"/>
      <c r="C509" s="2"/>
      <c r="D509" s="2"/>
    </row>
    <row r="510" ht="15.75" customHeight="1">
      <c r="A510" s="2"/>
      <c r="B510" s="2"/>
      <c r="C510" s="2"/>
      <c r="D510" s="2"/>
    </row>
    <row r="511" ht="15.75" customHeight="1">
      <c r="A511" s="2"/>
      <c r="B511" s="2"/>
      <c r="C511" s="2"/>
      <c r="D511" s="2"/>
    </row>
    <row r="512" ht="15.75" customHeight="1">
      <c r="A512" s="2"/>
      <c r="B512" s="2"/>
      <c r="C512" s="2"/>
      <c r="D512" s="2"/>
    </row>
    <row r="513" ht="15.75" customHeight="1">
      <c r="A513" s="2"/>
      <c r="B513" s="2"/>
      <c r="C513" s="2"/>
      <c r="D513" s="2"/>
    </row>
    <row r="514" ht="15.75" customHeight="1">
      <c r="A514" s="2"/>
      <c r="B514" s="2"/>
      <c r="C514" s="2"/>
      <c r="D514" s="2"/>
    </row>
    <row r="515" ht="15.75" customHeight="1">
      <c r="A515" s="2"/>
      <c r="B515" s="2"/>
      <c r="C515" s="2"/>
      <c r="D515" s="2"/>
    </row>
    <row r="516" ht="15.75" customHeight="1">
      <c r="A516" s="2"/>
      <c r="B516" s="2"/>
      <c r="C516" s="2"/>
      <c r="D516" s="2"/>
    </row>
    <row r="517" ht="15.75" customHeight="1">
      <c r="A517" s="2"/>
      <c r="B517" s="2"/>
      <c r="C517" s="2"/>
      <c r="D517" s="2"/>
    </row>
    <row r="518" ht="15.75" customHeight="1">
      <c r="A518" s="2"/>
      <c r="B518" s="2"/>
      <c r="C518" s="2"/>
      <c r="D518" s="2"/>
    </row>
    <row r="519" ht="15.75" customHeight="1">
      <c r="A519" s="2"/>
      <c r="B519" s="2"/>
      <c r="C519" s="2"/>
      <c r="D519" s="2"/>
    </row>
    <row r="520" ht="15.75" customHeight="1">
      <c r="A520" s="2"/>
      <c r="B520" s="2"/>
      <c r="C520" s="2"/>
      <c r="D520" s="2"/>
    </row>
    <row r="521" ht="15.75" customHeight="1">
      <c r="A521" s="2"/>
      <c r="B521" s="2"/>
      <c r="C521" s="2"/>
      <c r="D521" s="2"/>
    </row>
    <row r="522" ht="15.75" customHeight="1">
      <c r="A522" s="2"/>
      <c r="B522" s="2"/>
      <c r="C522" s="2"/>
      <c r="D522" s="2"/>
    </row>
    <row r="523" ht="15.75" customHeight="1">
      <c r="A523" s="2"/>
      <c r="B523" s="2"/>
      <c r="C523" s="2"/>
      <c r="D523" s="2"/>
    </row>
    <row r="524" ht="15.75" customHeight="1">
      <c r="A524" s="2"/>
      <c r="B524" s="2"/>
      <c r="C524" s="2"/>
      <c r="D524" s="2"/>
    </row>
    <row r="525" ht="15.75" customHeight="1">
      <c r="A525" s="2"/>
      <c r="B525" s="2"/>
      <c r="C525" s="2"/>
      <c r="D525" s="2"/>
    </row>
    <row r="526" ht="15.75" customHeight="1">
      <c r="A526" s="2"/>
      <c r="B526" s="2"/>
      <c r="C526" s="2"/>
      <c r="D526" s="2"/>
    </row>
    <row r="527" ht="15.75" customHeight="1">
      <c r="A527" s="2"/>
      <c r="B527" s="2"/>
      <c r="C527" s="2"/>
      <c r="D527" s="2"/>
    </row>
    <row r="528" ht="15.75" customHeight="1">
      <c r="A528" s="2"/>
      <c r="B528" s="2"/>
      <c r="C528" s="2"/>
      <c r="D528" s="2"/>
    </row>
    <row r="529" ht="15.75" customHeight="1">
      <c r="A529" s="2"/>
      <c r="B529" s="2"/>
      <c r="C529" s="2"/>
      <c r="D529" s="2"/>
    </row>
    <row r="530" ht="15.75" customHeight="1">
      <c r="A530" s="2"/>
      <c r="B530" s="2"/>
      <c r="C530" s="2"/>
      <c r="D530" s="2"/>
    </row>
    <row r="531" ht="15.75" customHeight="1">
      <c r="A531" s="2"/>
      <c r="B531" s="2"/>
      <c r="C531" s="2"/>
      <c r="D531" s="2"/>
    </row>
    <row r="532" ht="15.75" customHeight="1">
      <c r="A532" s="2"/>
      <c r="B532" s="2"/>
      <c r="C532" s="2"/>
      <c r="D532" s="2"/>
    </row>
    <row r="533" ht="15.75" customHeight="1">
      <c r="A533" s="2"/>
      <c r="B533" s="2"/>
      <c r="C533" s="2"/>
      <c r="D533" s="2"/>
    </row>
    <row r="534" ht="15.75" customHeight="1">
      <c r="A534" s="2"/>
      <c r="B534" s="2"/>
      <c r="C534" s="2"/>
      <c r="D534" s="2"/>
    </row>
    <row r="535" ht="15.75" customHeight="1">
      <c r="A535" s="2"/>
      <c r="B535" s="2"/>
      <c r="C535" s="2"/>
      <c r="D535" s="2"/>
    </row>
    <row r="536" ht="15.75" customHeight="1">
      <c r="A536" s="2"/>
      <c r="B536" s="2"/>
      <c r="C536" s="2"/>
      <c r="D536" s="2"/>
    </row>
    <row r="537" ht="15.75" customHeight="1">
      <c r="A537" s="2"/>
      <c r="B537" s="2"/>
      <c r="C537" s="2"/>
      <c r="D537" s="2"/>
    </row>
    <row r="538" ht="15.75" customHeight="1">
      <c r="A538" s="2"/>
      <c r="B538" s="2"/>
      <c r="C538" s="2"/>
      <c r="D538" s="2"/>
    </row>
    <row r="539" ht="15.75" customHeight="1">
      <c r="A539" s="2"/>
      <c r="B539" s="2"/>
      <c r="C539" s="2"/>
      <c r="D539" s="2"/>
    </row>
    <row r="540" ht="15.75" customHeight="1">
      <c r="A540" s="2"/>
      <c r="B540" s="2"/>
      <c r="C540" s="2"/>
      <c r="D540" s="2"/>
    </row>
    <row r="541" ht="15.75" customHeight="1">
      <c r="A541" s="2"/>
      <c r="B541" s="2"/>
      <c r="C541" s="2"/>
      <c r="D541" s="2"/>
    </row>
    <row r="542" ht="15.75" customHeight="1">
      <c r="A542" s="2"/>
      <c r="B542" s="2"/>
      <c r="C542" s="2"/>
      <c r="D542" s="2"/>
    </row>
    <row r="543" ht="15.75" customHeight="1">
      <c r="A543" s="2"/>
      <c r="B543" s="2"/>
      <c r="C543" s="2"/>
      <c r="D543" s="2"/>
    </row>
    <row r="544" ht="15.75" customHeight="1">
      <c r="A544" s="2"/>
      <c r="B544" s="2"/>
      <c r="C544" s="2"/>
      <c r="D544" s="2"/>
    </row>
    <row r="545" ht="15.75" customHeight="1">
      <c r="A545" s="2"/>
      <c r="B545" s="2"/>
      <c r="C545" s="2"/>
      <c r="D545" s="2"/>
    </row>
    <row r="546" ht="15.75" customHeight="1">
      <c r="A546" s="2"/>
      <c r="B546" s="2"/>
      <c r="C546" s="2"/>
      <c r="D546" s="2"/>
    </row>
    <row r="547" ht="15.75" customHeight="1">
      <c r="A547" s="2"/>
      <c r="B547" s="2"/>
      <c r="C547" s="2"/>
      <c r="D547" s="2"/>
    </row>
    <row r="548" ht="15.75" customHeight="1">
      <c r="A548" s="2"/>
      <c r="B548" s="2"/>
      <c r="C548" s="2"/>
      <c r="D548" s="2"/>
    </row>
    <row r="549" ht="15.75" customHeight="1">
      <c r="A549" s="2"/>
      <c r="B549" s="2"/>
      <c r="C549" s="2"/>
      <c r="D549" s="2"/>
    </row>
    <row r="550" ht="15.75" customHeight="1">
      <c r="A550" s="2"/>
      <c r="B550" s="2"/>
      <c r="C550" s="2"/>
      <c r="D550" s="2"/>
    </row>
    <row r="551" ht="15.75" customHeight="1">
      <c r="A551" s="2"/>
      <c r="B551" s="2"/>
      <c r="C551" s="2"/>
      <c r="D551" s="2"/>
    </row>
    <row r="552" ht="15.75" customHeight="1">
      <c r="A552" s="2"/>
      <c r="B552" s="2"/>
      <c r="C552" s="2"/>
      <c r="D552" s="2"/>
    </row>
    <row r="553" ht="15.75" customHeight="1">
      <c r="A553" s="2"/>
      <c r="B553" s="2"/>
      <c r="C553" s="2"/>
      <c r="D553" s="2"/>
    </row>
    <row r="554" ht="15.75" customHeight="1">
      <c r="A554" s="2"/>
      <c r="B554" s="2"/>
      <c r="C554" s="2"/>
      <c r="D554" s="2"/>
    </row>
    <row r="555" ht="15.75" customHeight="1">
      <c r="A555" s="2"/>
      <c r="B555" s="2"/>
      <c r="C555" s="2"/>
      <c r="D555" s="2"/>
    </row>
    <row r="556" ht="15.75" customHeight="1">
      <c r="A556" s="2"/>
      <c r="B556" s="2"/>
      <c r="C556" s="2"/>
      <c r="D556" s="2"/>
    </row>
    <row r="557" ht="15.75" customHeight="1">
      <c r="A557" s="2"/>
      <c r="B557" s="2"/>
      <c r="C557" s="2"/>
      <c r="D557" s="2"/>
    </row>
    <row r="558" ht="15.75" customHeight="1">
      <c r="A558" s="2"/>
      <c r="B558" s="2"/>
      <c r="C558" s="2"/>
      <c r="D558" s="2"/>
    </row>
    <row r="559" ht="15.75" customHeight="1">
      <c r="A559" s="2"/>
      <c r="B559" s="2"/>
      <c r="C559" s="2"/>
      <c r="D559" s="2"/>
    </row>
    <row r="560" ht="15.75" customHeight="1">
      <c r="A560" s="2"/>
      <c r="B560" s="2"/>
      <c r="C560" s="2"/>
      <c r="D560" s="2"/>
    </row>
    <row r="561" ht="15.75" customHeight="1">
      <c r="A561" s="2"/>
      <c r="B561" s="2"/>
      <c r="C561" s="2"/>
      <c r="D561" s="2"/>
    </row>
    <row r="562" ht="15.75" customHeight="1">
      <c r="A562" s="2"/>
      <c r="B562" s="2"/>
      <c r="C562" s="2"/>
      <c r="D562" s="2"/>
    </row>
    <row r="563" ht="15.75" customHeight="1">
      <c r="A563" s="2"/>
      <c r="B563" s="2"/>
      <c r="C563" s="2"/>
      <c r="D563" s="2"/>
    </row>
    <row r="564" ht="15.75" customHeight="1">
      <c r="A564" s="2"/>
      <c r="B564" s="2"/>
      <c r="C564" s="2"/>
      <c r="D564" s="2"/>
    </row>
    <row r="565" ht="15.75" customHeight="1">
      <c r="A565" s="2"/>
      <c r="B565" s="2"/>
      <c r="C565" s="2"/>
      <c r="D565" s="2"/>
    </row>
    <row r="566" ht="15.75" customHeight="1">
      <c r="A566" s="2"/>
      <c r="B566" s="2"/>
      <c r="C566" s="2"/>
      <c r="D566" s="2"/>
    </row>
    <row r="567" ht="15.75" customHeight="1">
      <c r="A567" s="2"/>
      <c r="B567" s="2"/>
      <c r="C567" s="2"/>
      <c r="D567" s="2"/>
    </row>
    <row r="568" ht="15.75" customHeight="1">
      <c r="A568" s="2"/>
      <c r="B568" s="2"/>
      <c r="C568" s="2"/>
      <c r="D568" s="2"/>
    </row>
    <row r="569" ht="15.75" customHeight="1">
      <c r="A569" s="2"/>
      <c r="B569" s="2"/>
      <c r="C569" s="2"/>
      <c r="D569" s="2"/>
    </row>
    <row r="570" ht="15.75" customHeight="1">
      <c r="A570" s="2"/>
      <c r="B570" s="2"/>
      <c r="C570" s="2"/>
      <c r="D570" s="2"/>
    </row>
    <row r="571" ht="15.75" customHeight="1">
      <c r="A571" s="2"/>
      <c r="B571" s="2"/>
      <c r="C571" s="2"/>
      <c r="D571" s="2"/>
    </row>
    <row r="572" ht="15.75" customHeight="1">
      <c r="A572" s="2"/>
      <c r="B572" s="2"/>
      <c r="C572" s="2"/>
      <c r="D572" s="2"/>
    </row>
    <row r="573" ht="15.75" customHeight="1">
      <c r="A573" s="2"/>
      <c r="B573" s="2"/>
      <c r="C573" s="2"/>
      <c r="D573" s="2"/>
    </row>
    <row r="574" ht="15.75" customHeight="1">
      <c r="A574" s="2"/>
      <c r="B574" s="2"/>
      <c r="C574" s="2"/>
      <c r="D574" s="2"/>
    </row>
    <row r="575" ht="15.75" customHeight="1">
      <c r="A575" s="2"/>
      <c r="B575" s="2"/>
      <c r="C575" s="2"/>
      <c r="D575" s="2"/>
    </row>
    <row r="576" ht="15.75" customHeight="1">
      <c r="A576" s="2"/>
      <c r="B576" s="2"/>
      <c r="C576" s="2"/>
      <c r="D576" s="2"/>
    </row>
    <row r="577" ht="15.75" customHeight="1">
      <c r="A577" s="2"/>
      <c r="B577" s="2"/>
      <c r="C577" s="2"/>
      <c r="D577" s="2"/>
    </row>
    <row r="578" ht="15.75" customHeight="1">
      <c r="A578" s="2"/>
      <c r="B578" s="2"/>
      <c r="C578" s="2"/>
      <c r="D578" s="2"/>
    </row>
    <row r="579" ht="15.75" customHeight="1">
      <c r="A579" s="2"/>
      <c r="B579" s="2"/>
      <c r="C579" s="2"/>
      <c r="D579" s="2"/>
    </row>
    <row r="580" ht="15.75" customHeight="1">
      <c r="A580" s="2"/>
      <c r="B580" s="2"/>
      <c r="C580" s="2"/>
      <c r="D580" s="2"/>
    </row>
    <row r="581" ht="15.75" customHeight="1">
      <c r="A581" s="2"/>
      <c r="B581" s="2"/>
      <c r="C581" s="2"/>
      <c r="D581" s="2"/>
    </row>
    <row r="582" ht="15.75" customHeight="1">
      <c r="A582" s="2"/>
      <c r="B582" s="2"/>
      <c r="C582" s="2"/>
      <c r="D582" s="2"/>
    </row>
    <row r="583" ht="15.75" customHeight="1">
      <c r="A583" s="2"/>
      <c r="B583" s="2"/>
      <c r="C583" s="2"/>
      <c r="D583" s="2"/>
    </row>
    <row r="584" ht="15.75" customHeight="1">
      <c r="A584" s="2"/>
      <c r="B584" s="2"/>
      <c r="C584" s="2"/>
      <c r="D584" s="2"/>
    </row>
    <row r="585" ht="15.75" customHeight="1">
      <c r="A585" s="2"/>
      <c r="B585" s="2"/>
      <c r="C585" s="2"/>
      <c r="D585" s="2"/>
    </row>
    <row r="586" ht="15.75" customHeight="1">
      <c r="A586" s="2"/>
      <c r="B586" s="2"/>
      <c r="C586" s="2"/>
      <c r="D586" s="2"/>
    </row>
    <row r="587" ht="15.75" customHeight="1">
      <c r="A587" s="2"/>
      <c r="B587" s="2"/>
      <c r="C587" s="2"/>
      <c r="D587" s="2"/>
    </row>
    <row r="588" ht="15.75" customHeight="1">
      <c r="A588" s="2"/>
      <c r="B588" s="2"/>
      <c r="C588" s="2"/>
      <c r="D588" s="2"/>
    </row>
    <row r="589" ht="15.75" customHeight="1">
      <c r="A589" s="2"/>
      <c r="B589" s="2"/>
      <c r="C589" s="2"/>
      <c r="D589" s="2"/>
    </row>
    <row r="590" ht="15.75" customHeight="1">
      <c r="A590" s="2"/>
      <c r="B590" s="2"/>
      <c r="C590" s="2"/>
      <c r="D590" s="2"/>
    </row>
    <row r="591" ht="15.75" customHeight="1">
      <c r="A591" s="2"/>
      <c r="B591" s="2"/>
      <c r="C591" s="2"/>
      <c r="D591" s="2"/>
    </row>
    <row r="592" ht="15.75" customHeight="1">
      <c r="A592" s="2"/>
      <c r="B592" s="2"/>
      <c r="C592" s="2"/>
      <c r="D592" s="2"/>
    </row>
    <row r="593" ht="15.75" customHeight="1">
      <c r="A593" s="2"/>
      <c r="B593" s="2"/>
      <c r="C593" s="2"/>
      <c r="D593" s="2"/>
    </row>
    <row r="594" ht="15.75" customHeight="1">
      <c r="A594" s="2"/>
      <c r="B594" s="2"/>
      <c r="C594" s="2"/>
      <c r="D594" s="2"/>
    </row>
    <row r="595" ht="15.75" customHeight="1">
      <c r="A595" s="2"/>
      <c r="B595" s="2"/>
      <c r="C595" s="2"/>
      <c r="D595" s="2"/>
    </row>
    <row r="596" ht="15.75" customHeight="1">
      <c r="A596" s="2"/>
      <c r="B596" s="2"/>
      <c r="C596" s="2"/>
      <c r="D596" s="2"/>
    </row>
    <row r="597" ht="15.75" customHeight="1">
      <c r="A597" s="2"/>
      <c r="B597" s="2"/>
      <c r="C597" s="2"/>
      <c r="D597" s="2"/>
    </row>
    <row r="598" ht="15.75" customHeight="1">
      <c r="A598" s="2"/>
      <c r="B598" s="2"/>
      <c r="C598" s="2"/>
      <c r="D598" s="2"/>
    </row>
    <row r="599" ht="15.75" customHeight="1">
      <c r="A599" s="2"/>
      <c r="B599" s="2"/>
      <c r="C599" s="2"/>
      <c r="D599" s="2"/>
    </row>
    <row r="600" ht="15.75" customHeight="1">
      <c r="A600" s="2"/>
      <c r="B600" s="2"/>
      <c r="C600" s="2"/>
      <c r="D600" s="2"/>
    </row>
    <row r="601" ht="15.75" customHeight="1">
      <c r="A601" s="2"/>
      <c r="B601" s="2"/>
      <c r="C601" s="2"/>
      <c r="D601" s="2"/>
    </row>
    <row r="602" ht="15.75" customHeight="1">
      <c r="A602" s="2"/>
      <c r="B602" s="2"/>
      <c r="C602" s="2"/>
      <c r="D602" s="2"/>
    </row>
    <row r="603" ht="15.75" customHeight="1">
      <c r="A603" s="2"/>
      <c r="B603" s="2"/>
      <c r="C603" s="2"/>
      <c r="D603" s="2"/>
    </row>
    <row r="604" ht="15.75" customHeight="1">
      <c r="A604" s="2"/>
      <c r="B604" s="2"/>
      <c r="C604" s="2"/>
      <c r="D604" s="2"/>
    </row>
    <row r="605" ht="15.75" customHeight="1">
      <c r="A605" s="2"/>
      <c r="B605" s="2"/>
      <c r="C605" s="2"/>
      <c r="D605" s="2"/>
    </row>
    <row r="606" ht="15.75" customHeight="1">
      <c r="A606" s="2"/>
      <c r="B606" s="2"/>
      <c r="C606" s="2"/>
      <c r="D606" s="2"/>
    </row>
    <row r="607" ht="15.75" customHeight="1">
      <c r="A607" s="2"/>
      <c r="B607" s="2"/>
      <c r="C607" s="2"/>
      <c r="D607" s="2"/>
    </row>
    <row r="608" ht="15.75" customHeight="1">
      <c r="A608" s="2"/>
      <c r="B608" s="2"/>
      <c r="C608" s="2"/>
      <c r="D608" s="2"/>
    </row>
    <row r="609" ht="15.75" customHeight="1">
      <c r="A609" s="2"/>
      <c r="B609" s="2"/>
      <c r="C609" s="2"/>
      <c r="D609" s="2"/>
    </row>
    <row r="610" ht="15.75" customHeight="1">
      <c r="A610" s="2"/>
      <c r="B610" s="2"/>
      <c r="C610" s="2"/>
      <c r="D610" s="2"/>
    </row>
    <row r="611" ht="15.75" customHeight="1">
      <c r="A611" s="2"/>
      <c r="B611" s="2"/>
      <c r="C611" s="2"/>
      <c r="D611" s="2"/>
    </row>
    <row r="612" ht="15.75" customHeight="1">
      <c r="A612" s="2"/>
      <c r="B612" s="2"/>
      <c r="C612" s="2"/>
      <c r="D612" s="2"/>
    </row>
    <row r="613" ht="15.75" customHeight="1">
      <c r="A613" s="2"/>
      <c r="B613" s="2"/>
      <c r="C613" s="2"/>
      <c r="D613" s="2"/>
    </row>
    <row r="614" ht="15.75" customHeight="1">
      <c r="A614" s="2"/>
      <c r="B614" s="2"/>
      <c r="C614" s="2"/>
      <c r="D614" s="2"/>
    </row>
    <row r="615" ht="15.75" customHeight="1">
      <c r="A615" s="2"/>
      <c r="B615" s="2"/>
      <c r="C615" s="2"/>
      <c r="D615" s="2"/>
    </row>
    <row r="616" ht="15.75" customHeight="1">
      <c r="A616" s="2"/>
      <c r="B616" s="2"/>
      <c r="C616" s="2"/>
      <c r="D616" s="2"/>
    </row>
    <row r="617" ht="15.75" customHeight="1">
      <c r="A617" s="2"/>
      <c r="B617" s="2"/>
      <c r="C617" s="2"/>
      <c r="D617" s="2"/>
    </row>
    <row r="618" ht="15.75" customHeight="1">
      <c r="A618" s="2"/>
      <c r="B618" s="2"/>
      <c r="C618" s="2"/>
      <c r="D618" s="2"/>
    </row>
    <row r="619" ht="15.75" customHeight="1">
      <c r="A619" s="2"/>
      <c r="B619" s="2"/>
      <c r="C619" s="2"/>
      <c r="D619" s="2"/>
    </row>
    <row r="620" ht="15.75" customHeight="1">
      <c r="A620" s="2"/>
      <c r="B620" s="2"/>
      <c r="C620" s="2"/>
      <c r="D620" s="2"/>
    </row>
    <row r="621" ht="15.75" customHeight="1">
      <c r="A621" s="2"/>
      <c r="B621" s="2"/>
      <c r="C621" s="2"/>
      <c r="D621" s="2"/>
    </row>
    <row r="622" ht="15.75" customHeight="1">
      <c r="A622" s="2"/>
      <c r="B622" s="2"/>
      <c r="C622" s="2"/>
      <c r="D622" s="2"/>
    </row>
    <row r="623" ht="15.75" customHeight="1">
      <c r="A623" s="2"/>
      <c r="B623" s="2"/>
      <c r="C623" s="2"/>
      <c r="D623" s="2"/>
    </row>
    <row r="624" ht="15.75" customHeight="1">
      <c r="A624" s="2"/>
      <c r="B624" s="2"/>
      <c r="C624" s="2"/>
      <c r="D624" s="2"/>
    </row>
    <row r="625" ht="15.75" customHeight="1">
      <c r="A625" s="2"/>
      <c r="B625" s="2"/>
      <c r="C625" s="2"/>
      <c r="D625" s="2"/>
    </row>
    <row r="626" ht="15.75" customHeight="1">
      <c r="A626" s="2"/>
      <c r="B626" s="2"/>
      <c r="C626" s="2"/>
      <c r="D626" s="2"/>
    </row>
    <row r="627" ht="15.75" customHeight="1">
      <c r="A627" s="2"/>
      <c r="B627" s="2"/>
      <c r="C627" s="2"/>
      <c r="D627" s="2"/>
    </row>
    <row r="628" ht="15.75" customHeight="1">
      <c r="A628" s="2"/>
      <c r="B628" s="2"/>
      <c r="C628" s="2"/>
      <c r="D628" s="2"/>
    </row>
    <row r="629" ht="15.75" customHeight="1">
      <c r="A629" s="2"/>
      <c r="B629" s="2"/>
      <c r="C629" s="2"/>
      <c r="D629" s="2"/>
    </row>
    <row r="630" ht="15.75" customHeight="1">
      <c r="A630" s="2"/>
      <c r="B630" s="2"/>
      <c r="C630" s="2"/>
      <c r="D630" s="2"/>
    </row>
    <row r="631" ht="15.75" customHeight="1">
      <c r="A631" s="2"/>
      <c r="B631" s="2"/>
      <c r="C631" s="2"/>
      <c r="D631" s="2"/>
    </row>
    <row r="632" ht="15.75" customHeight="1">
      <c r="A632" s="2"/>
      <c r="B632" s="2"/>
      <c r="C632" s="2"/>
      <c r="D632" s="2"/>
    </row>
    <row r="633" ht="15.75" customHeight="1">
      <c r="A633" s="2"/>
      <c r="B633" s="2"/>
      <c r="C633" s="2"/>
      <c r="D633" s="2"/>
    </row>
    <row r="634" ht="15.75" customHeight="1">
      <c r="A634" s="2"/>
      <c r="B634" s="2"/>
      <c r="C634" s="2"/>
      <c r="D634" s="2"/>
    </row>
    <row r="635" ht="15.75" customHeight="1">
      <c r="A635" s="2"/>
      <c r="B635" s="2"/>
      <c r="C635" s="2"/>
      <c r="D635" s="2"/>
    </row>
    <row r="636" ht="15.75" customHeight="1">
      <c r="A636" s="2"/>
      <c r="B636" s="2"/>
      <c r="C636" s="2"/>
      <c r="D636" s="2"/>
    </row>
    <row r="637" ht="15.75" customHeight="1">
      <c r="A637" s="2"/>
      <c r="B637" s="2"/>
      <c r="C637" s="2"/>
      <c r="D637" s="2"/>
    </row>
    <row r="638" ht="15.75" customHeight="1">
      <c r="A638" s="2"/>
      <c r="B638" s="2"/>
      <c r="C638" s="2"/>
      <c r="D638" s="2"/>
    </row>
    <row r="639" ht="15.75" customHeight="1">
      <c r="A639" s="2"/>
      <c r="B639" s="2"/>
      <c r="C639" s="2"/>
      <c r="D639" s="2"/>
    </row>
    <row r="640" ht="15.75" customHeight="1">
      <c r="A640" s="2"/>
      <c r="B640" s="2"/>
      <c r="C640" s="2"/>
      <c r="D640" s="2"/>
    </row>
    <row r="641" ht="15.75" customHeight="1">
      <c r="A641" s="2"/>
      <c r="B641" s="2"/>
      <c r="C641" s="2"/>
      <c r="D641" s="2"/>
    </row>
    <row r="642" ht="15.75" customHeight="1">
      <c r="A642" s="2"/>
      <c r="B642" s="2"/>
      <c r="C642" s="2"/>
      <c r="D642" s="2"/>
    </row>
    <row r="643" ht="15.75" customHeight="1">
      <c r="A643" s="2"/>
      <c r="B643" s="2"/>
      <c r="C643" s="2"/>
      <c r="D643" s="2"/>
    </row>
    <row r="644" ht="15.75" customHeight="1">
      <c r="A644" s="2"/>
      <c r="B644" s="2"/>
      <c r="C644" s="2"/>
      <c r="D644" s="2"/>
    </row>
    <row r="645" ht="15.75" customHeight="1">
      <c r="A645" s="2"/>
      <c r="B645" s="2"/>
      <c r="C645" s="2"/>
      <c r="D645" s="2"/>
    </row>
    <row r="646" ht="15.75" customHeight="1">
      <c r="A646" s="2"/>
      <c r="B646" s="2"/>
      <c r="C646" s="2"/>
      <c r="D646" s="2"/>
    </row>
    <row r="647" ht="15.75" customHeight="1">
      <c r="A647" s="2"/>
      <c r="B647" s="2"/>
      <c r="C647" s="2"/>
      <c r="D647" s="2"/>
    </row>
    <row r="648" ht="15.75" customHeight="1">
      <c r="A648" s="2"/>
      <c r="B648" s="2"/>
      <c r="C648" s="2"/>
      <c r="D648" s="2"/>
    </row>
    <row r="649" ht="15.75" customHeight="1">
      <c r="A649" s="2"/>
      <c r="B649" s="2"/>
      <c r="C649" s="2"/>
      <c r="D649" s="2"/>
    </row>
    <row r="650" ht="15.75" customHeight="1">
      <c r="A650" s="2"/>
      <c r="B650" s="2"/>
      <c r="C650" s="2"/>
      <c r="D650" s="2"/>
    </row>
    <row r="651" ht="15.75" customHeight="1">
      <c r="A651" s="2"/>
      <c r="B651" s="2"/>
      <c r="C651" s="2"/>
      <c r="D651" s="2"/>
    </row>
    <row r="652" ht="15.75" customHeight="1">
      <c r="A652" s="2"/>
      <c r="B652" s="2"/>
      <c r="C652" s="2"/>
      <c r="D652" s="2"/>
    </row>
    <row r="653" ht="15.75" customHeight="1">
      <c r="A653" s="2"/>
      <c r="B653" s="2"/>
      <c r="C653" s="2"/>
      <c r="D653" s="2"/>
    </row>
    <row r="654" ht="15.75" customHeight="1">
      <c r="A654" s="2"/>
      <c r="B654" s="2"/>
      <c r="C654" s="2"/>
      <c r="D654" s="2"/>
    </row>
    <row r="655" ht="15.75" customHeight="1">
      <c r="A655" s="2"/>
      <c r="B655" s="2"/>
      <c r="C655" s="2"/>
      <c r="D655" s="2"/>
    </row>
    <row r="656" ht="15.75" customHeight="1">
      <c r="A656" s="2"/>
      <c r="B656" s="2"/>
      <c r="C656" s="2"/>
      <c r="D656" s="2"/>
    </row>
    <row r="657" ht="15.75" customHeight="1">
      <c r="A657" s="2"/>
      <c r="B657" s="2"/>
      <c r="C657" s="2"/>
      <c r="D657" s="2"/>
    </row>
    <row r="658" ht="15.75" customHeight="1">
      <c r="A658" s="2"/>
      <c r="B658" s="2"/>
      <c r="C658" s="2"/>
      <c r="D658" s="2"/>
    </row>
    <row r="659" ht="15.75" customHeight="1">
      <c r="A659" s="2"/>
      <c r="B659" s="2"/>
      <c r="C659" s="2"/>
      <c r="D659" s="2"/>
    </row>
    <row r="660" ht="15.75" customHeight="1">
      <c r="A660" s="2"/>
      <c r="B660" s="2"/>
      <c r="C660" s="2"/>
      <c r="D660" s="2"/>
    </row>
    <row r="661" ht="15.75" customHeight="1">
      <c r="A661" s="2"/>
      <c r="B661" s="2"/>
      <c r="C661" s="2"/>
      <c r="D661" s="2"/>
    </row>
    <row r="662" ht="15.75" customHeight="1">
      <c r="A662" s="2"/>
      <c r="B662" s="2"/>
      <c r="C662" s="2"/>
      <c r="D662" s="2"/>
    </row>
    <row r="663" ht="15.75" customHeight="1">
      <c r="A663" s="2"/>
      <c r="B663" s="2"/>
      <c r="C663" s="2"/>
      <c r="D663" s="2"/>
    </row>
    <row r="664" ht="15.75" customHeight="1">
      <c r="A664" s="2"/>
      <c r="B664" s="2"/>
      <c r="C664" s="2"/>
      <c r="D664" s="2"/>
    </row>
    <row r="665" ht="15.75" customHeight="1">
      <c r="A665" s="2"/>
      <c r="B665" s="2"/>
      <c r="C665" s="2"/>
      <c r="D665" s="2"/>
    </row>
    <row r="666" ht="15.75" customHeight="1">
      <c r="A666" s="2"/>
      <c r="B666" s="2"/>
      <c r="C666" s="2"/>
      <c r="D666" s="2"/>
    </row>
    <row r="667" ht="15.75" customHeight="1">
      <c r="A667" s="2"/>
      <c r="B667" s="2"/>
      <c r="C667" s="2"/>
      <c r="D667" s="2"/>
    </row>
    <row r="668" ht="15.75" customHeight="1">
      <c r="A668" s="2"/>
      <c r="B668" s="2"/>
      <c r="C668" s="2"/>
      <c r="D668" s="2"/>
    </row>
    <row r="669" ht="15.75" customHeight="1">
      <c r="A669" s="2"/>
      <c r="B669" s="2"/>
      <c r="C669" s="2"/>
      <c r="D669" s="2"/>
    </row>
    <row r="670" ht="15.75" customHeight="1">
      <c r="A670" s="2"/>
      <c r="B670" s="2"/>
      <c r="C670" s="2"/>
      <c r="D670" s="2"/>
    </row>
    <row r="671" ht="15.75" customHeight="1">
      <c r="A671" s="2"/>
      <c r="B671" s="2"/>
      <c r="C671" s="2"/>
      <c r="D671" s="2"/>
    </row>
    <row r="672" ht="15.75" customHeight="1">
      <c r="A672" s="2"/>
      <c r="B672" s="2"/>
      <c r="C672" s="2"/>
      <c r="D672" s="2"/>
    </row>
    <row r="673" ht="15.75" customHeight="1">
      <c r="A673" s="2"/>
      <c r="B673" s="2"/>
      <c r="C673" s="2"/>
      <c r="D673" s="2"/>
    </row>
    <row r="674" ht="15.75" customHeight="1">
      <c r="A674" s="2"/>
      <c r="B674" s="2"/>
      <c r="C674" s="2"/>
      <c r="D674" s="2"/>
    </row>
    <row r="675" ht="15.75" customHeight="1">
      <c r="A675" s="2"/>
      <c r="B675" s="2"/>
      <c r="C675" s="2"/>
      <c r="D675" s="2"/>
    </row>
    <row r="676" ht="15.75" customHeight="1">
      <c r="A676" s="2"/>
      <c r="B676" s="2"/>
      <c r="C676" s="2"/>
      <c r="D676" s="2"/>
    </row>
    <row r="677" ht="15.75" customHeight="1">
      <c r="A677" s="2"/>
      <c r="B677" s="2"/>
      <c r="C677" s="2"/>
      <c r="D677" s="2"/>
    </row>
    <row r="678" ht="15.75" customHeight="1">
      <c r="A678" s="2"/>
      <c r="B678" s="2"/>
      <c r="C678" s="2"/>
      <c r="D678" s="2"/>
    </row>
    <row r="679" ht="15.75" customHeight="1">
      <c r="A679" s="2"/>
      <c r="B679" s="2"/>
      <c r="C679" s="2"/>
      <c r="D679" s="2"/>
    </row>
    <row r="680" ht="15.75" customHeight="1">
      <c r="A680" s="2"/>
      <c r="B680" s="2"/>
      <c r="C680" s="2"/>
      <c r="D680" s="2"/>
    </row>
    <row r="681" ht="15.75" customHeight="1">
      <c r="A681" s="2"/>
      <c r="B681" s="2"/>
      <c r="C681" s="2"/>
      <c r="D681" s="2"/>
    </row>
    <row r="682" ht="15.75" customHeight="1">
      <c r="A682" s="2"/>
      <c r="B682" s="2"/>
      <c r="C682" s="2"/>
      <c r="D682" s="2"/>
    </row>
    <row r="683" ht="15.75" customHeight="1">
      <c r="A683" s="2"/>
      <c r="B683" s="2"/>
      <c r="C683" s="2"/>
      <c r="D683" s="2"/>
    </row>
    <row r="684" ht="15.75" customHeight="1">
      <c r="A684" s="2"/>
      <c r="B684" s="2"/>
      <c r="C684" s="2"/>
      <c r="D684" s="2"/>
    </row>
    <row r="685" ht="15.75" customHeight="1">
      <c r="A685" s="2"/>
      <c r="B685" s="2"/>
      <c r="C685" s="2"/>
      <c r="D685" s="2"/>
    </row>
    <row r="686" ht="15.75" customHeight="1">
      <c r="A686" s="2"/>
      <c r="B686" s="2"/>
      <c r="C686" s="2"/>
      <c r="D686" s="2"/>
    </row>
    <row r="687" ht="15.75" customHeight="1">
      <c r="A687" s="2"/>
      <c r="B687" s="2"/>
      <c r="C687" s="2"/>
      <c r="D687" s="2"/>
    </row>
    <row r="688" ht="15.75" customHeight="1">
      <c r="A688" s="2"/>
      <c r="B688" s="2"/>
      <c r="C688" s="2"/>
      <c r="D688" s="2"/>
    </row>
    <row r="689" ht="15.75" customHeight="1">
      <c r="A689" s="2"/>
      <c r="B689" s="2"/>
      <c r="C689" s="2"/>
      <c r="D689" s="2"/>
    </row>
    <row r="690" ht="15.75" customHeight="1">
      <c r="A690" s="2"/>
      <c r="B690" s="2"/>
      <c r="C690" s="2"/>
      <c r="D690" s="2"/>
    </row>
    <row r="691" ht="15.75" customHeight="1">
      <c r="A691" s="2"/>
      <c r="B691" s="2"/>
      <c r="C691" s="2"/>
      <c r="D691" s="2"/>
    </row>
    <row r="692" ht="15.75" customHeight="1">
      <c r="A692" s="2"/>
      <c r="B692" s="2"/>
      <c r="C692" s="2"/>
      <c r="D692" s="2"/>
    </row>
    <row r="693" ht="15.75" customHeight="1">
      <c r="A693" s="2"/>
      <c r="B693" s="2"/>
      <c r="C693" s="2"/>
      <c r="D693" s="2"/>
    </row>
    <row r="694" ht="15.75" customHeight="1">
      <c r="A694" s="2"/>
      <c r="B694" s="2"/>
      <c r="C694" s="2"/>
      <c r="D694" s="2"/>
    </row>
    <row r="695" ht="15.75" customHeight="1">
      <c r="A695" s="2"/>
      <c r="B695" s="2"/>
      <c r="C695" s="2"/>
      <c r="D695" s="2"/>
    </row>
    <row r="696" ht="15.75" customHeight="1">
      <c r="A696" s="2"/>
      <c r="B696" s="2"/>
      <c r="C696" s="2"/>
      <c r="D696" s="2"/>
    </row>
    <row r="697" ht="15.75" customHeight="1">
      <c r="A697" s="2"/>
      <c r="B697" s="2"/>
      <c r="C697" s="2"/>
      <c r="D697" s="2"/>
    </row>
    <row r="698" ht="15.75" customHeight="1">
      <c r="A698" s="2"/>
      <c r="B698" s="2"/>
      <c r="C698" s="2"/>
      <c r="D698" s="2"/>
    </row>
    <row r="699" ht="15.75" customHeight="1">
      <c r="A699" s="2"/>
      <c r="B699" s="2"/>
      <c r="C699" s="2"/>
      <c r="D699" s="2"/>
    </row>
    <row r="700" ht="15.75" customHeight="1">
      <c r="A700" s="2"/>
      <c r="B700" s="2"/>
      <c r="C700" s="2"/>
      <c r="D700" s="2"/>
    </row>
    <row r="701" ht="15.75" customHeight="1">
      <c r="A701" s="2"/>
      <c r="B701" s="2"/>
      <c r="C701" s="2"/>
      <c r="D701" s="2"/>
    </row>
    <row r="702" ht="15.75" customHeight="1">
      <c r="A702" s="2"/>
      <c r="B702" s="2"/>
      <c r="C702" s="2"/>
      <c r="D702" s="2"/>
    </row>
    <row r="703" ht="15.75" customHeight="1">
      <c r="A703" s="2"/>
      <c r="B703" s="2"/>
      <c r="C703" s="2"/>
      <c r="D703" s="2"/>
    </row>
    <row r="704" ht="15.75" customHeight="1">
      <c r="A704" s="2"/>
      <c r="B704" s="2"/>
      <c r="C704" s="2"/>
      <c r="D704" s="2"/>
    </row>
    <row r="705" ht="15.75" customHeight="1">
      <c r="A705" s="2"/>
      <c r="B705" s="2"/>
      <c r="C705" s="2"/>
      <c r="D705" s="2"/>
    </row>
    <row r="706" ht="15.75" customHeight="1">
      <c r="A706" s="2"/>
      <c r="B706" s="2"/>
      <c r="C706" s="2"/>
      <c r="D706" s="2"/>
    </row>
    <row r="707" ht="15.75" customHeight="1">
      <c r="A707" s="2"/>
      <c r="B707" s="2"/>
      <c r="C707" s="2"/>
      <c r="D707" s="2"/>
    </row>
    <row r="708" ht="15.75" customHeight="1">
      <c r="A708" s="2"/>
      <c r="B708" s="2"/>
      <c r="C708" s="2"/>
      <c r="D708" s="2"/>
    </row>
    <row r="709" ht="15.75" customHeight="1">
      <c r="A709" s="2"/>
      <c r="B709" s="2"/>
      <c r="C709" s="2"/>
      <c r="D709" s="2"/>
    </row>
    <row r="710" ht="15.75" customHeight="1">
      <c r="A710" s="2"/>
      <c r="B710" s="2"/>
      <c r="C710" s="2"/>
      <c r="D710" s="2"/>
    </row>
    <row r="711" ht="15.75" customHeight="1">
      <c r="A711" s="2"/>
      <c r="B711" s="2"/>
      <c r="C711" s="2"/>
      <c r="D711" s="2"/>
    </row>
    <row r="712" ht="15.75" customHeight="1">
      <c r="A712" s="2"/>
      <c r="B712" s="2"/>
      <c r="C712" s="2"/>
      <c r="D712" s="2"/>
    </row>
    <row r="713" ht="15.75" customHeight="1">
      <c r="A713" s="2"/>
      <c r="B713" s="2"/>
      <c r="C713" s="2"/>
      <c r="D713" s="2"/>
    </row>
    <row r="714" ht="15.75" customHeight="1">
      <c r="A714" s="2"/>
      <c r="B714" s="2"/>
      <c r="C714" s="2"/>
      <c r="D714" s="2"/>
    </row>
    <row r="715" ht="15.75" customHeight="1">
      <c r="A715" s="2"/>
      <c r="B715" s="2"/>
      <c r="C715" s="2"/>
      <c r="D715" s="2"/>
    </row>
    <row r="716" ht="15.75" customHeight="1">
      <c r="A716" s="2"/>
      <c r="B716" s="2"/>
      <c r="C716" s="2"/>
      <c r="D716" s="2"/>
    </row>
    <row r="717" ht="15.75" customHeight="1">
      <c r="A717" s="2"/>
      <c r="B717" s="2"/>
      <c r="C717" s="2"/>
      <c r="D717" s="2"/>
    </row>
    <row r="718" ht="15.75" customHeight="1">
      <c r="A718" s="2"/>
      <c r="B718" s="2"/>
      <c r="C718" s="2"/>
      <c r="D718" s="2"/>
    </row>
    <row r="719" ht="15.75" customHeight="1">
      <c r="A719" s="2"/>
      <c r="B719" s="2"/>
      <c r="C719" s="2"/>
      <c r="D719" s="2"/>
    </row>
    <row r="720" ht="15.75" customHeight="1">
      <c r="A720" s="2"/>
      <c r="B720" s="2"/>
      <c r="C720" s="2"/>
      <c r="D720" s="2"/>
    </row>
    <row r="721" ht="15.75" customHeight="1">
      <c r="A721" s="2"/>
      <c r="B721" s="2"/>
      <c r="C721" s="2"/>
      <c r="D721" s="2"/>
    </row>
    <row r="722" ht="15.75" customHeight="1">
      <c r="A722" s="2"/>
      <c r="B722" s="2"/>
      <c r="C722" s="2"/>
      <c r="D722" s="2"/>
    </row>
    <row r="723" ht="15.75" customHeight="1">
      <c r="A723" s="2"/>
      <c r="B723" s="2"/>
      <c r="C723" s="2"/>
      <c r="D723" s="2"/>
    </row>
    <row r="724" ht="15.75" customHeight="1">
      <c r="A724" s="2"/>
      <c r="B724" s="2"/>
      <c r="C724" s="2"/>
      <c r="D724" s="2"/>
    </row>
    <row r="725" ht="15.75" customHeight="1">
      <c r="A725" s="2"/>
      <c r="B725" s="2"/>
      <c r="C725" s="2"/>
      <c r="D725" s="2"/>
    </row>
    <row r="726" ht="15.75" customHeight="1">
      <c r="A726" s="2"/>
      <c r="B726" s="2"/>
      <c r="C726" s="2"/>
      <c r="D726" s="2"/>
    </row>
    <row r="727" ht="15.75" customHeight="1">
      <c r="A727" s="2"/>
      <c r="B727" s="2"/>
      <c r="C727" s="2"/>
      <c r="D727" s="2"/>
    </row>
    <row r="728" ht="15.75" customHeight="1">
      <c r="A728" s="2"/>
      <c r="B728" s="2"/>
      <c r="C728" s="2"/>
      <c r="D728" s="2"/>
    </row>
    <row r="729" ht="15.75" customHeight="1">
      <c r="A729" s="2"/>
      <c r="B729" s="2"/>
      <c r="C729" s="2"/>
      <c r="D729" s="2"/>
    </row>
    <row r="730" ht="15.75" customHeight="1">
      <c r="A730" s="2"/>
      <c r="B730" s="2"/>
      <c r="C730" s="2"/>
      <c r="D730" s="2"/>
    </row>
    <row r="731" ht="15.75" customHeight="1">
      <c r="A731" s="2"/>
      <c r="B731" s="2"/>
      <c r="C731" s="2"/>
      <c r="D731" s="2"/>
    </row>
    <row r="732" ht="15.75" customHeight="1">
      <c r="A732" s="2"/>
      <c r="B732" s="2"/>
      <c r="C732" s="2"/>
      <c r="D732" s="2"/>
    </row>
    <row r="733" ht="15.75" customHeight="1">
      <c r="A733" s="2"/>
      <c r="B733" s="2"/>
      <c r="C733" s="2"/>
      <c r="D733" s="2"/>
    </row>
    <row r="734" ht="15.75" customHeight="1">
      <c r="A734" s="2"/>
      <c r="B734" s="2"/>
      <c r="C734" s="2"/>
      <c r="D734" s="2"/>
    </row>
    <row r="735" ht="15.75" customHeight="1">
      <c r="A735" s="2"/>
      <c r="B735" s="2"/>
      <c r="C735" s="2"/>
      <c r="D735" s="2"/>
    </row>
    <row r="736" ht="15.75" customHeight="1">
      <c r="A736" s="2"/>
      <c r="B736" s="2"/>
      <c r="C736" s="2"/>
      <c r="D736" s="2"/>
    </row>
    <row r="737" ht="15.75" customHeight="1">
      <c r="A737" s="2"/>
      <c r="B737" s="2"/>
      <c r="C737" s="2"/>
      <c r="D737" s="2"/>
    </row>
    <row r="738" ht="15.75" customHeight="1">
      <c r="A738" s="2"/>
      <c r="B738" s="2"/>
      <c r="C738" s="2"/>
      <c r="D738" s="2"/>
    </row>
    <row r="739" ht="15.75" customHeight="1">
      <c r="A739" s="2"/>
      <c r="B739" s="2"/>
      <c r="C739" s="2"/>
      <c r="D739" s="2"/>
    </row>
    <row r="740" ht="15.75" customHeight="1">
      <c r="A740" s="2"/>
      <c r="B740" s="2"/>
      <c r="C740" s="2"/>
      <c r="D740" s="2"/>
    </row>
    <row r="741" ht="15.75" customHeight="1">
      <c r="A741" s="2"/>
      <c r="B741" s="2"/>
      <c r="C741" s="2"/>
      <c r="D741" s="2"/>
    </row>
    <row r="742" ht="15.75" customHeight="1">
      <c r="A742" s="2"/>
      <c r="B742" s="2"/>
      <c r="C742" s="2"/>
      <c r="D742" s="2"/>
    </row>
    <row r="743" ht="15.75" customHeight="1">
      <c r="A743" s="2"/>
      <c r="B743" s="2"/>
      <c r="C743" s="2"/>
      <c r="D743" s="2"/>
    </row>
    <row r="744" ht="15.75" customHeight="1">
      <c r="A744" s="2"/>
      <c r="B744" s="2"/>
      <c r="C744" s="2"/>
      <c r="D744" s="2"/>
    </row>
    <row r="745" ht="15.75" customHeight="1">
      <c r="A745" s="2"/>
      <c r="B745" s="2"/>
      <c r="C745" s="2"/>
      <c r="D745" s="2"/>
    </row>
    <row r="746" ht="15.75" customHeight="1">
      <c r="A746" s="2"/>
      <c r="B746" s="2"/>
      <c r="C746" s="2"/>
      <c r="D746" s="2"/>
    </row>
    <row r="747" ht="15.75" customHeight="1">
      <c r="A747" s="2"/>
      <c r="B747" s="2"/>
      <c r="C747" s="2"/>
      <c r="D747" s="2"/>
    </row>
    <row r="748" ht="15.75" customHeight="1">
      <c r="A748" s="2"/>
      <c r="B748" s="2"/>
      <c r="C748" s="2"/>
      <c r="D748" s="2"/>
    </row>
    <row r="749" ht="15.75" customHeight="1">
      <c r="A749" s="2"/>
      <c r="B749" s="2"/>
      <c r="C749" s="2"/>
      <c r="D749" s="2"/>
    </row>
    <row r="750" ht="15.75" customHeight="1">
      <c r="A750" s="2"/>
      <c r="B750" s="2"/>
      <c r="C750" s="2"/>
      <c r="D750" s="2"/>
    </row>
    <row r="751" ht="15.75" customHeight="1">
      <c r="A751" s="2"/>
      <c r="B751" s="2"/>
      <c r="C751" s="2"/>
      <c r="D751" s="2"/>
    </row>
    <row r="752" ht="15.75" customHeight="1">
      <c r="A752" s="2"/>
      <c r="B752" s="2"/>
      <c r="C752" s="2"/>
      <c r="D752" s="2"/>
    </row>
    <row r="753" ht="15.75" customHeight="1">
      <c r="A753" s="2"/>
      <c r="B753" s="2"/>
      <c r="C753" s="2"/>
      <c r="D753" s="2"/>
    </row>
    <row r="754" ht="15.75" customHeight="1">
      <c r="A754" s="2"/>
      <c r="B754" s="2"/>
      <c r="C754" s="2"/>
      <c r="D754" s="2"/>
    </row>
    <row r="755" ht="15.75" customHeight="1">
      <c r="A755" s="2"/>
      <c r="B755" s="2"/>
      <c r="C755" s="2"/>
      <c r="D755" s="2"/>
    </row>
    <row r="756" ht="15.75" customHeight="1">
      <c r="A756" s="2"/>
      <c r="B756" s="2"/>
      <c r="C756" s="2"/>
      <c r="D756" s="2"/>
    </row>
    <row r="757" ht="15.75" customHeight="1">
      <c r="A757" s="2"/>
      <c r="B757" s="2"/>
      <c r="C757" s="2"/>
      <c r="D757" s="2"/>
    </row>
    <row r="758" ht="15.75" customHeight="1">
      <c r="A758" s="2"/>
      <c r="B758" s="2"/>
      <c r="C758" s="2"/>
      <c r="D758" s="2"/>
    </row>
    <row r="759" ht="15.75" customHeight="1">
      <c r="A759" s="2"/>
      <c r="B759" s="2"/>
      <c r="C759" s="2"/>
      <c r="D759" s="2"/>
    </row>
    <row r="760" ht="15.75" customHeight="1">
      <c r="A760" s="2"/>
      <c r="B760" s="2"/>
      <c r="C760" s="2"/>
      <c r="D760" s="2"/>
    </row>
    <row r="761" ht="15.75" customHeight="1">
      <c r="A761" s="2"/>
      <c r="B761" s="2"/>
      <c r="C761" s="2"/>
      <c r="D761" s="2"/>
    </row>
    <row r="762" ht="15.75" customHeight="1">
      <c r="A762" s="2"/>
      <c r="B762" s="2"/>
      <c r="C762" s="2"/>
      <c r="D762" s="2"/>
    </row>
    <row r="763" ht="15.75" customHeight="1">
      <c r="A763" s="2"/>
      <c r="B763" s="2"/>
      <c r="C763" s="2"/>
      <c r="D763" s="2"/>
    </row>
    <row r="764" ht="15.75" customHeight="1">
      <c r="A764" s="2"/>
      <c r="B764" s="2"/>
      <c r="C764" s="2"/>
      <c r="D764" s="2"/>
    </row>
    <row r="765" ht="15.75" customHeight="1">
      <c r="A765" s="2"/>
      <c r="B765" s="2"/>
      <c r="C765" s="2"/>
      <c r="D765" s="2"/>
    </row>
    <row r="766" ht="15.75" customHeight="1">
      <c r="A766" s="2"/>
      <c r="B766" s="2"/>
      <c r="C766" s="2"/>
      <c r="D766" s="2"/>
    </row>
    <row r="767" ht="15.75" customHeight="1">
      <c r="A767" s="2"/>
      <c r="B767" s="2"/>
      <c r="C767" s="2"/>
      <c r="D767" s="2"/>
    </row>
    <row r="768" ht="15.75" customHeight="1">
      <c r="A768" s="2"/>
      <c r="B768" s="2"/>
      <c r="C768" s="2"/>
      <c r="D768" s="2"/>
    </row>
    <row r="769" ht="15.75" customHeight="1">
      <c r="A769" s="2"/>
      <c r="B769" s="2"/>
      <c r="C769" s="2"/>
      <c r="D769" s="2"/>
    </row>
    <row r="770" ht="15.75" customHeight="1">
      <c r="A770" s="2"/>
      <c r="B770" s="2"/>
      <c r="C770" s="2"/>
      <c r="D770" s="2"/>
    </row>
    <row r="771" ht="15.75" customHeight="1">
      <c r="A771" s="2"/>
      <c r="B771" s="2"/>
      <c r="C771" s="2"/>
      <c r="D771" s="2"/>
    </row>
    <row r="772" ht="15.75" customHeight="1">
      <c r="A772" s="2"/>
      <c r="B772" s="2"/>
      <c r="C772" s="2"/>
      <c r="D772" s="2"/>
    </row>
    <row r="773" ht="15.75" customHeight="1">
      <c r="A773" s="2"/>
      <c r="B773" s="2"/>
      <c r="C773" s="2"/>
      <c r="D773" s="2"/>
    </row>
    <row r="774" ht="15.75" customHeight="1">
      <c r="A774" s="2"/>
      <c r="B774" s="2"/>
      <c r="C774" s="2"/>
      <c r="D774" s="2"/>
    </row>
    <row r="775" ht="15.75" customHeight="1">
      <c r="A775" s="2"/>
      <c r="B775" s="2"/>
      <c r="C775" s="2"/>
      <c r="D775" s="2"/>
    </row>
    <row r="776" ht="15.75" customHeight="1">
      <c r="A776" s="2"/>
      <c r="B776" s="2"/>
      <c r="C776" s="2"/>
      <c r="D776" s="2"/>
    </row>
    <row r="777" ht="15.75" customHeight="1">
      <c r="A777" s="2"/>
      <c r="B777" s="2"/>
      <c r="C777" s="2"/>
      <c r="D777" s="2"/>
    </row>
    <row r="778" ht="15.75" customHeight="1">
      <c r="A778" s="2"/>
      <c r="B778" s="2"/>
      <c r="C778" s="2"/>
      <c r="D778" s="2"/>
    </row>
    <row r="779" ht="15.75" customHeight="1">
      <c r="A779" s="2"/>
      <c r="B779" s="2"/>
      <c r="C779" s="2"/>
      <c r="D779" s="2"/>
    </row>
    <row r="780" ht="15.75" customHeight="1">
      <c r="A780" s="2"/>
      <c r="B780" s="2"/>
      <c r="C780" s="2"/>
      <c r="D780" s="2"/>
    </row>
    <row r="781" ht="15.75" customHeight="1">
      <c r="A781" s="2"/>
      <c r="B781" s="2"/>
      <c r="C781" s="2"/>
      <c r="D781" s="2"/>
    </row>
    <row r="782" ht="15.75" customHeight="1">
      <c r="A782" s="2"/>
      <c r="B782" s="2"/>
      <c r="C782" s="2"/>
      <c r="D782" s="2"/>
    </row>
    <row r="783" ht="15.75" customHeight="1">
      <c r="A783" s="2"/>
      <c r="B783" s="2"/>
      <c r="C783" s="2"/>
      <c r="D783" s="2"/>
    </row>
    <row r="784" ht="15.75" customHeight="1">
      <c r="A784" s="2"/>
      <c r="B784" s="2"/>
      <c r="C784" s="2"/>
      <c r="D784" s="2"/>
    </row>
    <row r="785" ht="15.75" customHeight="1">
      <c r="A785" s="2"/>
      <c r="B785" s="2"/>
      <c r="C785" s="2"/>
      <c r="D785" s="2"/>
    </row>
    <row r="786" ht="15.75" customHeight="1">
      <c r="A786" s="2"/>
      <c r="B786" s="2"/>
      <c r="C786" s="2"/>
      <c r="D786" s="2"/>
    </row>
    <row r="787" ht="15.75" customHeight="1">
      <c r="A787" s="2"/>
      <c r="B787" s="2"/>
      <c r="C787" s="2"/>
      <c r="D787" s="2"/>
    </row>
    <row r="788" ht="15.75" customHeight="1">
      <c r="A788" s="2"/>
      <c r="B788" s="2"/>
      <c r="C788" s="2"/>
      <c r="D788" s="2"/>
    </row>
    <row r="789" ht="15.75" customHeight="1">
      <c r="A789" s="2"/>
      <c r="B789" s="2"/>
      <c r="C789" s="2"/>
      <c r="D789" s="2"/>
    </row>
    <row r="790" ht="15.75" customHeight="1">
      <c r="A790" s="2"/>
      <c r="B790" s="2"/>
      <c r="C790" s="2"/>
      <c r="D790" s="2"/>
    </row>
    <row r="791" ht="15.75" customHeight="1">
      <c r="A791" s="2"/>
      <c r="B791" s="2"/>
      <c r="C791" s="2"/>
      <c r="D791" s="2"/>
    </row>
    <row r="792" ht="15.75" customHeight="1">
      <c r="A792" s="2"/>
      <c r="B792" s="2"/>
      <c r="C792" s="2"/>
      <c r="D792" s="2"/>
    </row>
    <row r="793" ht="15.75" customHeight="1">
      <c r="A793" s="2"/>
      <c r="B793" s="2"/>
      <c r="C793" s="2"/>
      <c r="D793" s="2"/>
    </row>
    <row r="794" ht="15.75" customHeight="1">
      <c r="A794" s="2"/>
      <c r="B794" s="2"/>
      <c r="C794" s="2"/>
      <c r="D794" s="2"/>
    </row>
    <row r="795" ht="15.75" customHeight="1">
      <c r="A795" s="2"/>
      <c r="B795" s="2"/>
      <c r="C795" s="2"/>
      <c r="D795" s="2"/>
    </row>
    <row r="796" ht="15.75" customHeight="1">
      <c r="A796" s="2"/>
      <c r="B796" s="2"/>
      <c r="C796" s="2"/>
      <c r="D796" s="2"/>
    </row>
    <row r="797" ht="15.75" customHeight="1">
      <c r="A797" s="2"/>
      <c r="B797" s="2"/>
      <c r="C797" s="2"/>
      <c r="D797" s="2"/>
    </row>
    <row r="798" ht="15.75" customHeight="1">
      <c r="A798" s="2"/>
      <c r="B798" s="2"/>
      <c r="C798" s="2"/>
      <c r="D798" s="2"/>
    </row>
    <row r="799" ht="15.75" customHeight="1">
      <c r="A799" s="2"/>
      <c r="B799" s="2"/>
      <c r="C799" s="2"/>
      <c r="D799" s="2"/>
    </row>
    <row r="800" ht="15.75" customHeight="1">
      <c r="A800" s="2"/>
      <c r="B800" s="2"/>
      <c r="C800" s="2"/>
      <c r="D800" s="2"/>
    </row>
    <row r="801" ht="15.75" customHeight="1">
      <c r="A801" s="2"/>
      <c r="B801" s="2"/>
      <c r="C801" s="2"/>
      <c r="D801" s="2"/>
    </row>
    <row r="802" ht="15.75" customHeight="1">
      <c r="A802" s="2"/>
      <c r="B802" s="2"/>
      <c r="C802" s="2"/>
      <c r="D802" s="2"/>
    </row>
    <row r="803" ht="15.75" customHeight="1">
      <c r="A803" s="2"/>
      <c r="B803" s="2"/>
      <c r="C803" s="2"/>
      <c r="D803" s="2"/>
    </row>
    <row r="804" ht="15.75" customHeight="1">
      <c r="A804" s="2"/>
      <c r="B804" s="2"/>
      <c r="C804" s="2"/>
      <c r="D804" s="2"/>
    </row>
    <row r="805" ht="15.75" customHeight="1">
      <c r="A805" s="2"/>
      <c r="B805" s="2"/>
      <c r="C805" s="2"/>
      <c r="D805" s="2"/>
    </row>
    <row r="806" ht="15.75" customHeight="1">
      <c r="A806" s="2"/>
      <c r="B806" s="2"/>
      <c r="C806" s="2"/>
      <c r="D806" s="2"/>
    </row>
    <row r="807" ht="15.75" customHeight="1">
      <c r="A807" s="2"/>
      <c r="B807" s="2"/>
      <c r="C807" s="2"/>
      <c r="D807" s="2"/>
    </row>
    <row r="808" ht="15.75" customHeight="1">
      <c r="A808" s="2"/>
      <c r="B808" s="2"/>
      <c r="C808" s="2"/>
      <c r="D808" s="2"/>
    </row>
    <row r="809" ht="15.75" customHeight="1">
      <c r="A809" s="2"/>
      <c r="B809" s="2"/>
      <c r="C809" s="2"/>
      <c r="D809" s="2"/>
    </row>
    <row r="810" ht="15.75" customHeight="1">
      <c r="A810" s="2"/>
      <c r="B810" s="2"/>
      <c r="C810" s="2"/>
      <c r="D810" s="2"/>
    </row>
    <row r="811" ht="15.75" customHeight="1">
      <c r="A811" s="2"/>
      <c r="B811" s="2"/>
      <c r="C811" s="2"/>
      <c r="D811" s="2"/>
    </row>
    <row r="812" ht="15.75" customHeight="1">
      <c r="A812" s="2"/>
      <c r="B812" s="2"/>
      <c r="C812" s="2"/>
      <c r="D812" s="2"/>
    </row>
    <row r="813" ht="15.75" customHeight="1">
      <c r="A813" s="2"/>
      <c r="B813" s="2"/>
      <c r="C813" s="2"/>
      <c r="D813" s="2"/>
    </row>
    <row r="814" ht="15.75" customHeight="1">
      <c r="A814" s="2"/>
      <c r="B814" s="2"/>
      <c r="C814" s="2"/>
      <c r="D814" s="2"/>
    </row>
    <row r="815" ht="15.75" customHeight="1">
      <c r="A815" s="2"/>
      <c r="B815" s="2"/>
      <c r="C815" s="2"/>
      <c r="D815" s="2"/>
    </row>
    <row r="816" ht="15.75" customHeight="1">
      <c r="A816" s="2"/>
      <c r="B816" s="2"/>
      <c r="C816" s="2"/>
      <c r="D816" s="2"/>
    </row>
    <row r="817" ht="15.75" customHeight="1">
      <c r="A817" s="2"/>
      <c r="B817" s="2"/>
      <c r="C817" s="2"/>
      <c r="D817" s="2"/>
    </row>
    <row r="818" ht="15.75" customHeight="1">
      <c r="A818" s="2"/>
      <c r="B818" s="2"/>
      <c r="C818" s="2"/>
      <c r="D818" s="2"/>
    </row>
    <row r="819" ht="15.75" customHeight="1">
      <c r="A819" s="2"/>
      <c r="B819" s="2"/>
      <c r="C819" s="2"/>
      <c r="D819" s="2"/>
    </row>
    <row r="820" ht="15.75" customHeight="1">
      <c r="A820" s="2"/>
      <c r="B820" s="2"/>
      <c r="C820" s="2"/>
      <c r="D820" s="2"/>
    </row>
    <row r="821" ht="15.75" customHeight="1">
      <c r="A821" s="2"/>
      <c r="B821" s="2"/>
      <c r="C821" s="2"/>
      <c r="D821" s="2"/>
    </row>
    <row r="822" ht="15.75" customHeight="1">
      <c r="A822" s="2"/>
      <c r="B822" s="2"/>
      <c r="C822" s="2"/>
      <c r="D822" s="2"/>
    </row>
    <row r="823" ht="15.75" customHeight="1">
      <c r="A823" s="2"/>
      <c r="B823" s="2"/>
      <c r="C823" s="2"/>
      <c r="D823" s="2"/>
    </row>
    <row r="824" ht="15.75" customHeight="1">
      <c r="A824" s="2"/>
      <c r="B824" s="2"/>
      <c r="C824" s="2"/>
      <c r="D824" s="2"/>
    </row>
    <row r="825" ht="15.75" customHeight="1">
      <c r="A825" s="2"/>
      <c r="B825" s="2"/>
      <c r="C825" s="2"/>
      <c r="D825" s="2"/>
    </row>
    <row r="826" ht="15.75" customHeight="1">
      <c r="A826" s="2"/>
      <c r="B826" s="2"/>
      <c r="C826" s="2"/>
      <c r="D826" s="2"/>
    </row>
    <row r="827" ht="15.75" customHeight="1">
      <c r="A827" s="2"/>
      <c r="B827" s="2"/>
      <c r="C827" s="2"/>
      <c r="D827" s="2"/>
    </row>
    <row r="828" ht="15.75" customHeight="1">
      <c r="A828" s="2"/>
      <c r="B828" s="2"/>
      <c r="C828" s="2"/>
      <c r="D828" s="2"/>
    </row>
    <row r="829" ht="15.75" customHeight="1">
      <c r="A829" s="2"/>
      <c r="B829" s="2"/>
      <c r="C829" s="2"/>
      <c r="D829" s="2"/>
    </row>
    <row r="830" ht="15.75" customHeight="1">
      <c r="A830" s="2"/>
      <c r="B830" s="2"/>
      <c r="C830" s="2"/>
      <c r="D830" s="2"/>
    </row>
    <row r="831" ht="15.75" customHeight="1">
      <c r="A831" s="2"/>
      <c r="B831" s="2"/>
      <c r="C831" s="2"/>
      <c r="D831" s="2"/>
    </row>
    <row r="832" ht="15.75" customHeight="1">
      <c r="A832" s="2"/>
      <c r="B832" s="2"/>
      <c r="C832" s="2"/>
      <c r="D832" s="2"/>
    </row>
    <row r="833" ht="15.75" customHeight="1">
      <c r="A833" s="2"/>
      <c r="B833" s="2"/>
      <c r="C833" s="2"/>
      <c r="D833" s="2"/>
    </row>
    <row r="834" ht="15.75" customHeight="1">
      <c r="A834" s="2"/>
      <c r="B834" s="2"/>
      <c r="C834" s="2"/>
      <c r="D834" s="2"/>
    </row>
    <row r="835" ht="15.75" customHeight="1">
      <c r="A835" s="2"/>
      <c r="B835" s="2"/>
      <c r="C835" s="2"/>
      <c r="D835" s="2"/>
    </row>
    <row r="836" ht="15.75" customHeight="1">
      <c r="A836" s="2"/>
      <c r="B836" s="2"/>
      <c r="C836" s="2"/>
      <c r="D836" s="2"/>
    </row>
    <row r="837" ht="15.75" customHeight="1">
      <c r="A837" s="2"/>
      <c r="B837" s="2"/>
      <c r="C837" s="2"/>
      <c r="D837" s="2"/>
    </row>
    <row r="838" ht="15.75" customHeight="1">
      <c r="A838" s="2"/>
      <c r="B838" s="2"/>
      <c r="C838" s="2"/>
      <c r="D838" s="2"/>
    </row>
    <row r="839" ht="15.75" customHeight="1">
      <c r="A839" s="2"/>
      <c r="B839" s="2"/>
      <c r="C839" s="2"/>
      <c r="D839" s="2"/>
    </row>
    <row r="840" ht="15.75" customHeight="1">
      <c r="A840" s="2"/>
      <c r="B840" s="2"/>
      <c r="C840" s="2"/>
      <c r="D840" s="2"/>
    </row>
    <row r="841" ht="15.75" customHeight="1">
      <c r="A841" s="2"/>
      <c r="B841" s="2"/>
      <c r="C841" s="2"/>
      <c r="D841" s="2"/>
    </row>
    <row r="842" ht="15.75" customHeight="1">
      <c r="A842" s="2"/>
      <c r="B842" s="2"/>
      <c r="C842" s="2"/>
      <c r="D842" s="2"/>
    </row>
    <row r="843" ht="15.75" customHeight="1">
      <c r="A843" s="2"/>
      <c r="B843" s="2"/>
      <c r="C843" s="2"/>
      <c r="D843" s="2"/>
    </row>
    <row r="844" ht="15.75" customHeight="1">
      <c r="A844" s="2"/>
      <c r="B844" s="2"/>
      <c r="C844" s="2"/>
      <c r="D844" s="2"/>
    </row>
    <row r="845" ht="15.75" customHeight="1">
      <c r="A845" s="2"/>
      <c r="B845" s="2"/>
      <c r="C845" s="2"/>
      <c r="D845" s="2"/>
    </row>
    <row r="846" ht="15.75" customHeight="1">
      <c r="A846" s="2"/>
      <c r="B846" s="2"/>
      <c r="C846" s="2"/>
      <c r="D846" s="2"/>
    </row>
    <row r="847" ht="15.75" customHeight="1">
      <c r="A847" s="2"/>
      <c r="B847" s="2"/>
      <c r="C847" s="2"/>
      <c r="D847" s="2"/>
    </row>
    <row r="848" ht="15.75" customHeight="1">
      <c r="A848" s="2"/>
      <c r="B848" s="2"/>
      <c r="C848" s="2"/>
      <c r="D848" s="2"/>
    </row>
    <row r="849" ht="15.75" customHeight="1">
      <c r="A849" s="2"/>
      <c r="B849" s="2"/>
      <c r="C849" s="2"/>
      <c r="D849" s="2"/>
    </row>
    <row r="850" ht="15.75" customHeight="1">
      <c r="A850" s="2"/>
      <c r="B850" s="2"/>
      <c r="C850" s="2"/>
      <c r="D850" s="2"/>
    </row>
    <row r="851" ht="15.75" customHeight="1">
      <c r="A851" s="2"/>
      <c r="B851" s="2"/>
      <c r="C851" s="2"/>
      <c r="D851" s="2"/>
    </row>
    <row r="852" ht="15.75" customHeight="1">
      <c r="A852" s="2"/>
      <c r="B852" s="2"/>
      <c r="C852" s="2"/>
      <c r="D852" s="2"/>
    </row>
    <row r="853" ht="15.75" customHeight="1">
      <c r="A853" s="2"/>
      <c r="B853" s="2"/>
      <c r="C853" s="2"/>
      <c r="D853" s="2"/>
    </row>
    <row r="854" ht="15.75" customHeight="1">
      <c r="A854" s="2"/>
      <c r="B854" s="2"/>
      <c r="C854" s="2"/>
      <c r="D854" s="2"/>
    </row>
    <row r="855" ht="15.75" customHeight="1">
      <c r="A855" s="2"/>
      <c r="B855" s="2"/>
      <c r="C855" s="2"/>
      <c r="D855" s="2"/>
    </row>
    <row r="856" ht="15.75" customHeight="1">
      <c r="A856" s="2"/>
      <c r="B856" s="2"/>
      <c r="C856" s="2"/>
      <c r="D856" s="2"/>
    </row>
    <row r="857" ht="15.75" customHeight="1">
      <c r="A857" s="2"/>
      <c r="B857" s="2"/>
      <c r="C857" s="2"/>
      <c r="D857" s="2"/>
    </row>
    <row r="858" ht="15.75" customHeight="1">
      <c r="A858" s="2"/>
      <c r="B858" s="2"/>
      <c r="C858" s="2"/>
      <c r="D858" s="2"/>
    </row>
    <row r="859" ht="15.75" customHeight="1">
      <c r="A859" s="2"/>
      <c r="B859" s="2"/>
      <c r="C859" s="2"/>
      <c r="D859" s="2"/>
    </row>
    <row r="860" ht="15.75" customHeight="1">
      <c r="A860" s="2"/>
      <c r="B860" s="2"/>
      <c r="C860" s="2"/>
      <c r="D860" s="2"/>
    </row>
    <row r="861" ht="15.75" customHeight="1">
      <c r="A861" s="2"/>
      <c r="B861" s="2"/>
      <c r="C861" s="2"/>
      <c r="D861" s="2"/>
    </row>
    <row r="862" ht="15.75" customHeight="1">
      <c r="A862" s="2"/>
      <c r="B862" s="2"/>
      <c r="C862" s="2"/>
      <c r="D862" s="2"/>
    </row>
    <row r="863" ht="15.75" customHeight="1">
      <c r="A863" s="2"/>
      <c r="B863" s="2"/>
      <c r="C863" s="2"/>
      <c r="D863" s="2"/>
    </row>
    <row r="864" ht="15.75" customHeight="1">
      <c r="A864" s="2"/>
      <c r="B864" s="2"/>
      <c r="C864" s="2"/>
      <c r="D864" s="2"/>
    </row>
    <row r="865" ht="15.75" customHeight="1">
      <c r="A865" s="2"/>
      <c r="B865" s="2"/>
      <c r="C865" s="2"/>
      <c r="D865" s="2"/>
    </row>
    <row r="866" ht="15.75" customHeight="1">
      <c r="A866" s="2"/>
      <c r="B866" s="2"/>
      <c r="C866" s="2"/>
      <c r="D866" s="2"/>
    </row>
    <row r="867" ht="15.75" customHeight="1">
      <c r="A867" s="2"/>
      <c r="B867" s="2"/>
      <c r="C867" s="2"/>
      <c r="D867" s="2"/>
    </row>
    <row r="868" ht="15.75" customHeight="1">
      <c r="A868" s="2"/>
      <c r="B868" s="2"/>
      <c r="C868" s="2"/>
      <c r="D868" s="2"/>
    </row>
    <row r="869" ht="15.75" customHeight="1">
      <c r="A869" s="2"/>
      <c r="B869" s="2"/>
      <c r="C869" s="2"/>
      <c r="D869" s="2"/>
    </row>
    <row r="870" ht="15.75" customHeight="1">
      <c r="A870" s="2"/>
      <c r="B870" s="2"/>
      <c r="C870" s="2"/>
      <c r="D870" s="2"/>
    </row>
    <row r="871" ht="15.75" customHeight="1">
      <c r="A871" s="2"/>
      <c r="B871" s="2"/>
      <c r="C871" s="2"/>
      <c r="D871" s="2"/>
    </row>
    <row r="872" ht="15.75" customHeight="1">
      <c r="A872" s="2"/>
      <c r="B872" s="2"/>
      <c r="C872" s="2"/>
      <c r="D872" s="2"/>
    </row>
    <row r="873" ht="15.75" customHeight="1">
      <c r="A873" s="2"/>
      <c r="B873" s="2"/>
      <c r="C873" s="2"/>
      <c r="D873" s="2"/>
    </row>
    <row r="874" ht="15.75" customHeight="1">
      <c r="A874" s="2"/>
      <c r="B874" s="2"/>
      <c r="C874" s="2"/>
      <c r="D874" s="2"/>
    </row>
    <row r="875" ht="15.75" customHeight="1">
      <c r="A875" s="2"/>
      <c r="B875" s="2"/>
      <c r="C875" s="2"/>
      <c r="D875" s="2"/>
    </row>
    <row r="876" ht="15.75" customHeight="1">
      <c r="A876" s="2"/>
      <c r="B876" s="2"/>
      <c r="C876" s="2"/>
      <c r="D876" s="2"/>
    </row>
    <row r="877" ht="15.75" customHeight="1">
      <c r="A877" s="2"/>
      <c r="B877" s="2"/>
      <c r="C877" s="2"/>
      <c r="D877" s="2"/>
    </row>
    <row r="878" ht="15.75" customHeight="1">
      <c r="A878" s="2"/>
      <c r="B878" s="2"/>
      <c r="C878" s="2"/>
      <c r="D878" s="2"/>
    </row>
    <row r="879" ht="15.75" customHeight="1">
      <c r="A879" s="2"/>
      <c r="B879" s="2"/>
      <c r="C879" s="2"/>
      <c r="D879" s="2"/>
    </row>
    <row r="880" ht="15.75" customHeight="1">
      <c r="A880" s="2"/>
      <c r="B880" s="2"/>
      <c r="C880" s="2"/>
      <c r="D880" s="2"/>
    </row>
    <row r="881" ht="15.75" customHeight="1">
      <c r="A881" s="2"/>
      <c r="B881" s="2"/>
      <c r="C881" s="2"/>
      <c r="D881" s="2"/>
    </row>
    <row r="882" ht="15.75" customHeight="1">
      <c r="A882" s="2"/>
      <c r="B882" s="2"/>
      <c r="C882" s="2"/>
      <c r="D882" s="2"/>
    </row>
    <row r="883" ht="15.75" customHeight="1">
      <c r="A883" s="2"/>
      <c r="B883" s="2"/>
      <c r="C883" s="2"/>
      <c r="D883" s="2"/>
    </row>
    <row r="884" ht="15.75" customHeight="1">
      <c r="A884" s="2"/>
      <c r="B884" s="2"/>
      <c r="C884" s="2"/>
      <c r="D884" s="2"/>
    </row>
    <row r="885" ht="15.75" customHeight="1">
      <c r="A885" s="2"/>
      <c r="B885" s="2"/>
      <c r="C885" s="2"/>
      <c r="D885" s="2"/>
    </row>
    <row r="886" ht="15.75" customHeight="1">
      <c r="A886" s="2"/>
      <c r="B886" s="2"/>
      <c r="C886" s="2"/>
      <c r="D886" s="2"/>
    </row>
    <row r="887" ht="15.75" customHeight="1">
      <c r="A887" s="2"/>
      <c r="B887" s="2"/>
      <c r="C887" s="2"/>
      <c r="D887" s="2"/>
    </row>
    <row r="888" ht="15.75" customHeight="1">
      <c r="A888" s="2"/>
      <c r="B888" s="2"/>
      <c r="C888" s="2"/>
      <c r="D888" s="2"/>
    </row>
    <row r="889" ht="15.75" customHeight="1">
      <c r="A889" s="2"/>
      <c r="B889" s="2"/>
      <c r="C889" s="2"/>
      <c r="D889" s="2"/>
    </row>
    <row r="890" ht="15.75" customHeight="1">
      <c r="A890" s="2"/>
      <c r="B890" s="2"/>
      <c r="C890" s="2"/>
      <c r="D890" s="2"/>
    </row>
    <row r="891" ht="15.75" customHeight="1">
      <c r="A891" s="2"/>
      <c r="B891" s="2"/>
      <c r="C891" s="2"/>
      <c r="D891" s="2"/>
    </row>
    <row r="892" ht="15.75" customHeight="1">
      <c r="A892" s="2"/>
      <c r="B892" s="2"/>
      <c r="C892" s="2"/>
      <c r="D892" s="2"/>
    </row>
    <row r="893" ht="15.75" customHeight="1">
      <c r="A893" s="2"/>
      <c r="B893" s="2"/>
      <c r="C893" s="2"/>
      <c r="D893" s="2"/>
    </row>
    <row r="894" ht="15.75" customHeight="1">
      <c r="A894" s="2"/>
      <c r="B894" s="2"/>
      <c r="C894" s="2"/>
      <c r="D894" s="2"/>
    </row>
    <row r="895" ht="15.75" customHeight="1">
      <c r="A895" s="2"/>
      <c r="B895" s="2"/>
      <c r="C895" s="2"/>
      <c r="D895" s="2"/>
    </row>
    <row r="896" ht="15.75" customHeight="1">
      <c r="A896" s="2"/>
      <c r="B896" s="2"/>
      <c r="C896" s="2"/>
      <c r="D896" s="2"/>
    </row>
    <row r="897" ht="15.75" customHeight="1">
      <c r="A897" s="2"/>
      <c r="B897" s="2"/>
      <c r="C897" s="2"/>
      <c r="D897" s="2"/>
    </row>
    <row r="898" ht="15.75" customHeight="1">
      <c r="A898" s="2"/>
      <c r="B898" s="2"/>
      <c r="C898" s="2"/>
      <c r="D898" s="2"/>
    </row>
    <row r="899" ht="15.75" customHeight="1">
      <c r="A899" s="2"/>
      <c r="B899" s="2"/>
      <c r="C899" s="2"/>
      <c r="D899" s="2"/>
    </row>
    <row r="900" ht="15.75" customHeight="1">
      <c r="A900" s="2"/>
      <c r="B900" s="2"/>
      <c r="C900" s="2"/>
      <c r="D900" s="2"/>
    </row>
    <row r="901" ht="15.75" customHeight="1">
      <c r="A901" s="2"/>
      <c r="B901" s="2"/>
      <c r="C901" s="2"/>
      <c r="D901" s="2"/>
    </row>
    <row r="902" ht="15.75" customHeight="1">
      <c r="A902" s="2"/>
      <c r="B902" s="2"/>
      <c r="C902" s="2"/>
      <c r="D902" s="2"/>
    </row>
    <row r="903" ht="15.75" customHeight="1">
      <c r="A903" s="2"/>
      <c r="B903" s="2"/>
      <c r="C903" s="2"/>
      <c r="D903" s="2"/>
    </row>
    <row r="904" ht="15.75" customHeight="1">
      <c r="A904" s="2"/>
      <c r="B904" s="2"/>
      <c r="C904" s="2"/>
      <c r="D904" s="2"/>
    </row>
    <row r="905" ht="15.75" customHeight="1">
      <c r="A905" s="2"/>
      <c r="B905" s="2"/>
      <c r="C905" s="2"/>
      <c r="D905" s="2"/>
    </row>
    <row r="906" ht="15.75" customHeight="1">
      <c r="A906" s="2"/>
      <c r="B906" s="2"/>
      <c r="C906" s="2"/>
      <c r="D906" s="2"/>
    </row>
    <row r="907" ht="15.75" customHeight="1">
      <c r="A907" s="2"/>
      <c r="B907" s="2"/>
      <c r="C907" s="2"/>
      <c r="D907" s="2"/>
    </row>
    <row r="908" ht="15.75" customHeight="1">
      <c r="A908" s="2"/>
      <c r="B908" s="2"/>
      <c r="C908" s="2"/>
      <c r="D908" s="2"/>
    </row>
    <row r="909" ht="15.75" customHeight="1">
      <c r="A909" s="2"/>
      <c r="B909" s="2"/>
      <c r="C909" s="2"/>
      <c r="D909" s="2"/>
    </row>
    <row r="910" ht="15.75" customHeight="1">
      <c r="A910" s="2"/>
      <c r="B910" s="2"/>
      <c r="C910" s="2"/>
      <c r="D910" s="2"/>
    </row>
    <row r="911" ht="15.75" customHeight="1">
      <c r="A911" s="2"/>
      <c r="B911" s="2"/>
      <c r="C911" s="2"/>
      <c r="D911" s="2"/>
    </row>
    <row r="912" ht="15.75" customHeight="1">
      <c r="A912" s="2"/>
      <c r="B912" s="2"/>
      <c r="C912" s="2"/>
      <c r="D912" s="2"/>
    </row>
    <row r="913" ht="15.75" customHeight="1">
      <c r="A913" s="2"/>
      <c r="B913" s="2"/>
      <c r="C913" s="2"/>
      <c r="D913" s="2"/>
    </row>
    <row r="914" ht="15.75" customHeight="1">
      <c r="A914" s="2"/>
      <c r="B914" s="2"/>
      <c r="C914" s="2"/>
      <c r="D914" s="2"/>
    </row>
    <row r="915" ht="15.75" customHeight="1">
      <c r="A915" s="2"/>
      <c r="B915" s="2"/>
      <c r="C915" s="2"/>
      <c r="D915" s="2"/>
    </row>
    <row r="916" ht="15.75" customHeight="1">
      <c r="A916" s="2"/>
      <c r="B916" s="2"/>
      <c r="C916" s="2"/>
      <c r="D916" s="2"/>
    </row>
    <row r="917" ht="15.75" customHeight="1">
      <c r="A917" s="2"/>
      <c r="B917" s="2"/>
      <c r="C917" s="2"/>
      <c r="D917" s="2"/>
    </row>
    <row r="918" ht="15.75" customHeight="1">
      <c r="A918" s="2"/>
      <c r="B918" s="2"/>
      <c r="C918" s="2"/>
      <c r="D918" s="2"/>
    </row>
    <row r="919" ht="15.75" customHeight="1">
      <c r="A919" s="2"/>
      <c r="B919" s="2"/>
      <c r="C919" s="2"/>
      <c r="D919" s="2"/>
    </row>
    <row r="920" ht="15.75" customHeight="1">
      <c r="A920" s="2"/>
      <c r="B920" s="2"/>
      <c r="C920" s="2"/>
      <c r="D920" s="2"/>
    </row>
    <row r="921" ht="15.75" customHeight="1">
      <c r="A921" s="2"/>
      <c r="B921" s="2"/>
      <c r="C921" s="2"/>
      <c r="D921" s="2"/>
    </row>
    <row r="922" ht="15.75" customHeight="1">
      <c r="A922" s="2"/>
      <c r="B922" s="2"/>
      <c r="C922" s="2"/>
      <c r="D922" s="2"/>
    </row>
    <row r="923" ht="15.75" customHeight="1">
      <c r="A923" s="2"/>
      <c r="B923" s="2"/>
      <c r="C923" s="2"/>
      <c r="D923" s="2"/>
    </row>
    <row r="924" ht="15.75" customHeight="1">
      <c r="A924" s="2"/>
      <c r="B924" s="2"/>
      <c r="C924" s="2"/>
      <c r="D924" s="2"/>
    </row>
    <row r="925" ht="15.75" customHeight="1">
      <c r="A925" s="2"/>
      <c r="B925" s="2"/>
      <c r="C925" s="2"/>
      <c r="D925" s="2"/>
    </row>
    <row r="926" ht="15.75" customHeight="1">
      <c r="A926" s="2"/>
      <c r="B926" s="2"/>
      <c r="C926" s="2"/>
      <c r="D926" s="2"/>
    </row>
    <row r="927" ht="15.75" customHeight="1">
      <c r="A927" s="2"/>
      <c r="B927" s="2"/>
      <c r="C927" s="2"/>
      <c r="D927" s="2"/>
    </row>
    <row r="928" ht="15.75" customHeight="1">
      <c r="A928" s="2"/>
      <c r="B928" s="2"/>
      <c r="C928" s="2"/>
      <c r="D928" s="2"/>
    </row>
    <row r="929" ht="15.75" customHeight="1">
      <c r="A929" s="2"/>
      <c r="B929" s="2"/>
      <c r="C929" s="2"/>
      <c r="D929" s="2"/>
    </row>
    <row r="930" ht="15.75" customHeight="1">
      <c r="A930" s="2"/>
      <c r="B930" s="2"/>
      <c r="C930" s="2"/>
      <c r="D930" s="2"/>
    </row>
    <row r="931" ht="15.75" customHeight="1">
      <c r="A931" s="2"/>
      <c r="B931" s="2"/>
      <c r="C931" s="2"/>
      <c r="D931" s="2"/>
    </row>
    <row r="932" ht="15.75" customHeight="1">
      <c r="A932" s="2"/>
      <c r="B932" s="2"/>
      <c r="C932" s="2"/>
      <c r="D932" s="2"/>
    </row>
    <row r="933" ht="15.75" customHeight="1">
      <c r="A933" s="2"/>
      <c r="B933" s="2"/>
      <c r="C933" s="2"/>
      <c r="D933" s="2"/>
    </row>
    <row r="934" ht="15.75" customHeight="1">
      <c r="A934" s="2"/>
      <c r="B934" s="2"/>
      <c r="C934" s="2"/>
      <c r="D934" s="2"/>
    </row>
    <row r="935" ht="15.75" customHeight="1">
      <c r="A935" s="2"/>
      <c r="B935" s="2"/>
      <c r="C935" s="2"/>
      <c r="D935" s="2"/>
    </row>
    <row r="936" ht="15.75" customHeight="1">
      <c r="A936" s="2"/>
      <c r="B936" s="2"/>
      <c r="C936" s="2"/>
      <c r="D936" s="2"/>
    </row>
    <row r="937" ht="15.75" customHeight="1">
      <c r="A937" s="2"/>
      <c r="B937" s="2"/>
      <c r="C937" s="2"/>
      <c r="D937" s="2"/>
    </row>
    <row r="938" ht="15.75" customHeight="1">
      <c r="A938" s="2"/>
      <c r="B938" s="2"/>
      <c r="C938" s="2"/>
      <c r="D938" s="2"/>
    </row>
    <row r="939" ht="15.75" customHeight="1">
      <c r="A939" s="2"/>
      <c r="B939" s="2"/>
      <c r="C939" s="2"/>
      <c r="D939" s="2"/>
    </row>
    <row r="940" ht="15.75" customHeight="1">
      <c r="A940" s="2"/>
      <c r="B940" s="2"/>
      <c r="C940" s="2"/>
      <c r="D940" s="2"/>
    </row>
    <row r="941" ht="15.75" customHeight="1">
      <c r="A941" s="2"/>
      <c r="B941" s="2"/>
      <c r="C941" s="2"/>
      <c r="D941" s="2"/>
    </row>
    <row r="942" ht="15.75" customHeight="1">
      <c r="A942" s="2"/>
      <c r="B942" s="2"/>
      <c r="C942" s="2"/>
      <c r="D942" s="2"/>
    </row>
    <row r="943" ht="15.75" customHeight="1">
      <c r="A943" s="2"/>
      <c r="B943" s="2"/>
      <c r="C943" s="2"/>
      <c r="D943" s="2"/>
    </row>
    <row r="944" ht="15.75" customHeight="1">
      <c r="A944" s="2"/>
      <c r="B944" s="2"/>
      <c r="C944" s="2"/>
      <c r="D944" s="2"/>
    </row>
    <row r="945" ht="15.75" customHeight="1">
      <c r="A945" s="2"/>
      <c r="B945" s="2"/>
      <c r="C945" s="2"/>
      <c r="D945" s="2"/>
    </row>
    <row r="946" ht="15.75" customHeight="1">
      <c r="A946" s="2"/>
      <c r="B946" s="2"/>
      <c r="C946" s="2"/>
      <c r="D946" s="2"/>
    </row>
    <row r="947" ht="15.75" customHeight="1">
      <c r="A947" s="2"/>
      <c r="B947" s="2"/>
      <c r="C947" s="2"/>
      <c r="D947" s="2"/>
    </row>
    <row r="948" ht="15.75" customHeight="1">
      <c r="A948" s="2"/>
      <c r="B948" s="2"/>
      <c r="C948" s="2"/>
      <c r="D948" s="2"/>
    </row>
    <row r="949" ht="15.75" customHeight="1">
      <c r="A949" s="2"/>
      <c r="B949" s="2"/>
      <c r="C949" s="2"/>
      <c r="D949" s="2"/>
    </row>
    <row r="950" ht="15.75" customHeight="1">
      <c r="A950" s="2"/>
      <c r="B950" s="2"/>
      <c r="C950" s="2"/>
      <c r="D950" s="2"/>
    </row>
    <row r="951" ht="15.75" customHeight="1">
      <c r="A951" s="2"/>
      <c r="B951" s="2"/>
      <c r="C951" s="2"/>
      <c r="D951" s="2"/>
    </row>
    <row r="952" ht="15.75" customHeight="1">
      <c r="A952" s="2"/>
      <c r="B952" s="2"/>
      <c r="C952" s="2"/>
      <c r="D952" s="2"/>
    </row>
    <row r="953" ht="15.75" customHeight="1">
      <c r="A953" s="2"/>
      <c r="B953" s="2"/>
      <c r="C953" s="2"/>
      <c r="D953" s="2"/>
    </row>
    <row r="954" ht="15.75" customHeight="1">
      <c r="A954" s="2"/>
      <c r="B954" s="2"/>
      <c r="C954" s="2"/>
      <c r="D954" s="2"/>
    </row>
    <row r="955" ht="15.75" customHeight="1">
      <c r="A955" s="2"/>
      <c r="B955" s="2"/>
      <c r="C955" s="2"/>
      <c r="D955" s="2"/>
    </row>
    <row r="956" ht="15.75" customHeight="1">
      <c r="A956" s="2"/>
      <c r="B956" s="2"/>
      <c r="C956" s="2"/>
      <c r="D956" s="2"/>
    </row>
    <row r="957" ht="15.75" customHeight="1">
      <c r="A957" s="2"/>
      <c r="B957" s="2"/>
      <c r="C957" s="2"/>
      <c r="D957" s="2"/>
    </row>
    <row r="958" ht="15.75" customHeight="1">
      <c r="A958" s="2"/>
      <c r="B958" s="2"/>
      <c r="C958" s="2"/>
      <c r="D958" s="2"/>
    </row>
    <row r="959" ht="15.75" customHeight="1">
      <c r="A959" s="2"/>
      <c r="B959" s="2"/>
      <c r="C959" s="2"/>
      <c r="D959" s="2"/>
    </row>
    <row r="960" ht="15.75" customHeight="1">
      <c r="A960" s="2"/>
      <c r="B960" s="2"/>
      <c r="C960" s="2"/>
      <c r="D960" s="2"/>
    </row>
    <row r="961" ht="15.75" customHeight="1">
      <c r="A961" s="2"/>
      <c r="B961" s="2"/>
      <c r="C961" s="2"/>
      <c r="D961" s="2"/>
    </row>
    <row r="962" ht="15.75" customHeight="1">
      <c r="A962" s="2"/>
      <c r="B962" s="2"/>
      <c r="C962" s="2"/>
      <c r="D962" s="2"/>
    </row>
    <row r="963" ht="15.75" customHeight="1">
      <c r="A963" s="2"/>
      <c r="B963" s="2"/>
      <c r="C963" s="2"/>
      <c r="D963" s="2"/>
    </row>
    <row r="964" ht="15.75" customHeight="1">
      <c r="A964" s="2"/>
      <c r="B964" s="2"/>
      <c r="C964" s="2"/>
      <c r="D964" s="2"/>
    </row>
    <row r="965" ht="15.75" customHeight="1">
      <c r="A965" s="2"/>
      <c r="B965" s="2"/>
      <c r="C965" s="2"/>
      <c r="D965" s="2"/>
    </row>
    <row r="966" ht="15.75" customHeight="1">
      <c r="A966" s="2"/>
      <c r="B966" s="2"/>
      <c r="C966" s="2"/>
      <c r="D966" s="2"/>
    </row>
    <row r="967" ht="15.75" customHeight="1">
      <c r="A967" s="2"/>
      <c r="B967" s="2"/>
      <c r="C967" s="2"/>
      <c r="D967" s="2"/>
    </row>
    <row r="968" ht="15.75" customHeight="1">
      <c r="A968" s="2"/>
      <c r="B968" s="2"/>
      <c r="C968" s="2"/>
      <c r="D968" s="2"/>
    </row>
    <row r="969" ht="15.75" customHeight="1">
      <c r="A969" s="2"/>
      <c r="B969" s="2"/>
      <c r="C969" s="2"/>
      <c r="D969" s="2"/>
    </row>
    <row r="970" ht="15.75" customHeight="1">
      <c r="A970" s="2"/>
      <c r="B970" s="2"/>
      <c r="C970" s="2"/>
      <c r="D970" s="2"/>
    </row>
    <row r="971" ht="15.75" customHeight="1">
      <c r="A971" s="2"/>
      <c r="B971" s="2"/>
      <c r="C971" s="2"/>
      <c r="D971" s="2"/>
    </row>
    <row r="972" ht="15.75" customHeight="1">
      <c r="A972" s="2"/>
      <c r="B972" s="2"/>
      <c r="C972" s="2"/>
      <c r="D972" s="2"/>
    </row>
    <row r="973" ht="15.75" customHeight="1">
      <c r="A973" s="2"/>
      <c r="B973" s="2"/>
      <c r="C973" s="2"/>
      <c r="D973" s="2"/>
    </row>
    <row r="974" ht="15.75" customHeight="1">
      <c r="A974" s="2"/>
      <c r="B974" s="2"/>
      <c r="C974" s="2"/>
      <c r="D974" s="2"/>
    </row>
    <row r="975" ht="15.75" customHeight="1">
      <c r="A975" s="2"/>
      <c r="B975" s="2"/>
      <c r="C975" s="2"/>
      <c r="D975" s="2"/>
    </row>
    <row r="976" ht="15.75" customHeight="1">
      <c r="A976" s="2"/>
      <c r="B976" s="2"/>
      <c r="C976" s="2"/>
      <c r="D976" s="2"/>
    </row>
    <row r="977" ht="15.75" customHeight="1">
      <c r="A977" s="2"/>
      <c r="B977" s="2"/>
      <c r="C977" s="2"/>
      <c r="D977" s="2"/>
    </row>
    <row r="978" ht="15.75" customHeight="1">
      <c r="A978" s="2"/>
      <c r="B978" s="2"/>
      <c r="C978" s="2"/>
      <c r="D978" s="2"/>
    </row>
    <row r="979" ht="15.75" customHeight="1">
      <c r="A979" s="2"/>
      <c r="B979" s="2"/>
      <c r="C979" s="2"/>
      <c r="D979" s="2"/>
    </row>
    <row r="980" ht="15.75" customHeight="1">
      <c r="A980" s="2"/>
      <c r="B980" s="2"/>
      <c r="C980" s="2"/>
      <c r="D980" s="2"/>
    </row>
    <row r="981" ht="15.75" customHeight="1">
      <c r="A981" s="2"/>
      <c r="B981" s="2"/>
      <c r="C981" s="2"/>
      <c r="D981" s="2"/>
    </row>
    <row r="982" ht="15.75" customHeight="1">
      <c r="A982" s="2"/>
      <c r="B982" s="2"/>
      <c r="C982" s="2"/>
      <c r="D982" s="2"/>
    </row>
    <row r="983" ht="15.75" customHeight="1">
      <c r="A983" s="2"/>
      <c r="B983" s="2"/>
      <c r="C983" s="2"/>
      <c r="D983" s="2"/>
    </row>
    <row r="984" ht="15.75" customHeight="1">
      <c r="A984" s="2"/>
      <c r="B984" s="2"/>
      <c r="C984" s="2"/>
      <c r="D984" s="2"/>
    </row>
    <row r="985" ht="15.75" customHeight="1">
      <c r="A985" s="2"/>
      <c r="B985" s="2"/>
      <c r="C985" s="2"/>
      <c r="D985" s="2"/>
    </row>
    <row r="986" ht="15.75" customHeight="1">
      <c r="A986" s="2"/>
      <c r="B986" s="2"/>
      <c r="C986" s="2"/>
      <c r="D986" s="2"/>
    </row>
    <row r="987" ht="15.75" customHeight="1">
      <c r="A987" s="2"/>
      <c r="B987" s="2"/>
      <c r="C987" s="2"/>
      <c r="D987" s="2"/>
    </row>
    <row r="988" ht="15.75" customHeight="1">
      <c r="A988" s="2"/>
      <c r="B988" s="2"/>
      <c r="C988" s="2"/>
      <c r="D988" s="2"/>
    </row>
    <row r="989" ht="15.75" customHeight="1">
      <c r="A989" s="2"/>
      <c r="B989" s="2"/>
      <c r="C989" s="2"/>
      <c r="D989" s="2"/>
    </row>
    <row r="990" ht="15.75" customHeight="1">
      <c r="A990" s="2"/>
      <c r="B990" s="2"/>
      <c r="C990" s="2"/>
      <c r="D990" s="2"/>
    </row>
    <row r="991" ht="15.75" customHeight="1">
      <c r="A991" s="2"/>
      <c r="B991" s="2"/>
      <c r="C991" s="2"/>
      <c r="D991" s="2"/>
    </row>
    <row r="992" ht="15.75" customHeight="1">
      <c r="A992" s="2"/>
      <c r="B992" s="2"/>
      <c r="C992" s="2"/>
      <c r="D992" s="2"/>
    </row>
    <row r="993" ht="15.75" customHeight="1">
      <c r="A993" s="2"/>
      <c r="B993" s="2"/>
      <c r="C993" s="2"/>
      <c r="D993" s="2"/>
    </row>
    <row r="994" ht="15.75" customHeight="1">
      <c r="A994" s="2"/>
      <c r="B994" s="2"/>
      <c r="C994" s="2"/>
      <c r="D994" s="2"/>
    </row>
    <row r="995" ht="15.75" customHeight="1">
      <c r="A995" s="2"/>
      <c r="B995" s="2"/>
      <c r="C995" s="2"/>
      <c r="D995" s="2"/>
    </row>
    <row r="996" ht="15.75" customHeight="1">
      <c r="A996" s="2"/>
      <c r="B996" s="2"/>
      <c r="C996" s="2"/>
      <c r="D996" s="2"/>
    </row>
    <row r="997" ht="15.75" customHeight="1">
      <c r="A997" s="2"/>
      <c r="B997" s="2"/>
      <c r="C997" s="2"/>
      <c r="D997" s="2"/>
    </row>
    <row r="998" ht="15.75" customHeight="1">
      <c r="A998" s="2"/>
      <c r="B998" s="2"/>
      <c r="C998" s="2"/>
      <c r="D998" s="2"/>
    </row>
    <row r="999" ht="15.75" customHeight="1">
      <c r="A999" s="2"/>
      <c r="B999" s="2"/>
      <c r="C999" s="2"/>
      <c r="D999" s="2"/>
    </row>
    <row r="1000" ht="15.75" customHeight="1">
      <c r="A1000" s="2"/>
      <c r="B1000" s="2"/>
      <c r="C1000" s="2"/>
      <c r="D1000" s="2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2.0"/>
    <col customWidth="1" min="4" max="26" width="8.71"/>
  </cols>
  <sheetData>
    <row r="1" ht="15.0" customHeight="1">
      <c r="A1" s="2" t="s">
        <v>146</v>
      </c>
      <c r="B1" s="2" t="s">
        <v>147</v>
      </c>
      <c r="C1" s="2" t="s">
        <v>148</v>
      </c>
    </row>
    <row r="2" ht="15.0" customHeight="1">
      <c r="A2" s="2" t="s">
        <v>118</v>
      </c>
      <c r="B2" s="2" t="s">
        <v>121</v>
      </c>
      <c r="C2" s="2">
        <v>2013.0</v>
      </c>
    </row>
    <row r="3" ht="15.0" customHeight="1">
      <c r="A3" s="2" t="s">
        <v>19</v>
      </c>
      <c r="B3" s="2" t="s">
        <v>20</v>
      </c>
      <c r="C3" s="2">
        <v>2014.0</v>
      </c>
    </row>
    <row r="4" ht="15.0" customHeight="1">
      <c r="A4" s="2" t="s">
        <v>50</v>
      </c>
      <c r="B4" s="2" t="s">
        <v>13</v>
      </c>
      <c r="C4" s="2">
        <v>2015.0</v>
      </c>
    </row>
    <row r="5" ht="15.0" customHeight="1">
      <c r="A5" s="2" t="s">
        <v>11</v>
      </c>
      <c r="B5" s="2" t="s">
        <v>26</v>
      </c>
      <c r="C5" s="2">
        <v>2016.0</v>
      </c>
    </row>
    <row r="6" ht="15.0" customHeight="1">
      <c r="A6" s="2" t="s">
        <v>45</v>
      </c>
      <c r="B6" s="2" t="s">
        <v>42</v>
      </c>
      <c r="C6" s="2">
        <v>2017.0</v>
      </c>
    </row>
    <row r="7" ht="15.0" customHeight="1">
      <c r="A7" s="2" t="s">
        <v>32</v>
      </c>
      <c r="B7" s="2"/>
      <c r="C7" s="2">
        <v>2018.0</v>
      </c>
    </row>
    <row r="8" ht="15.0" customHeight="1">
      <c r="A8" s="2" t="s">
        <v>25</v>
      </c>
      <c r="B8" s="2"/>
      <c r="C8" s="2">
        <v>2019.0</v>
      </c>
    </row>
    <row r="9" ht="15.0" customHeight="1">
      <c r="A9" s="2" t="s">
        <v>41</v>
      </c>
      <c r="B9" s="2"/>
      <c r="C9" s="2">
        <v>2020.0</v>
      </c>
    </row>
    <row r="10" ht="15.0" customHeight="1">
      <c r="A10" s="2"/>
      <c r="B10" s="2"/>
      <c r="C10" s="2">
        <v>2021.0</v>
      </c>
    </row>
    <row r="11" ht="15.0" customHeight="1">
      <c r="A11" s="2"/>
      <c r="B11" s="2"/>
      <c r="C11" s="2">
        <v>2022.0</v>
      </c>
    </row>
    <row r="12" ht="15.0" customHeight="1">
      <c r="A12" s="2"/>
      <c r="B12" s="2"/>
      <c r="C12" s="2">
        <v>2023.0</v>
      </c>
    </row>
    <row r="13" ht="15.0" customHeight="1">
      <c r="A13" s="2"/>
      <c r="B13" s="2"/>
      <c r="C13" s="2">
        <v>2024.0</v>
      </c>
    </row>
    <row r="14">
      <c r="A14" s="2"/>
      <c r="B14" s="2"/>
      <c r="C14" s="2"/>
    </row>
    <row r="15">
      <c r="A15" s="2"/>
      <c r="B15" s="2"/>
      <c r="C15" s="2"/>
    </row>
    <row r="16">
      <c r="A16" s="2"/>
      <c r="B16" s="2"/>
      <c r="C16" s="2"/>
    </row>
    <row r="17">
      <c r="A17" s="2"/>
      <c r="B17" s="2"/>
      <c r="C17" s="2"/>
    </row>
    <row r="18">
      <c r="A18" s="2"/>
      <c r="B18" s="2"/>
      <c r="C18" s="2"/>
    </row>
    <row r="19">
      <c r="A19" s="2"/>
      <c r="B19" s="2"/>
      <c r="C19" s="2"/>
    </row>
    <row r="20">
      <c r="A20" s="2"/>
      <c r="B20" s="2"/>
      <c r="C20" s="2"/>
    </row>
    <row r="21" ht="15.75" customHeight="1">
      <c r="A21" s="2"/>
      <c r="B21" s="2"/>
      <c r="C21" s="2"/>
    </row>
    <row r="22" ht="15.75" customHeight="1">
      <c r="A22" s="2"/>
      <c r="B22" s="2"/>
      <c r="C22" s="2"/>
    </row>
    <row r="23" ht="15.75" customHeight="1">
      <c r="A23" s="2"/>
      <c r="B23" s="2"/>
      <c r="C23" s="2"/>
    </row>
    <row r="24" ht="15.75" customHeight="1">
      <c r="A24" s="2"/>
      <c r="B24" s="2"/>
      <c r="C24" s="2"/>
    </row>
    <row r="25" ht="15.75" customHeight="1">
      <c r="A25" s="2"/>
      <c r="B25" s="2"/>
      <c r="C25" s="2"/>
    </row>
    <row r="26" ht="15.75" customHeight="1">
      <c r="A26" s="2"/>
      <c r="B26" s="2"/>
      <c r="C26" s="2"/>
    </row>
    <row r="27" ht="15.75" customHeight="1">
      <c r="A27" s="2"/>
      <c r="B27" s="2"/>
      <c r="C27" s="2"/>
    </row>
    <row r="28" ht="15.75" customHeight="1">
      <c r="A28" s="2"/>
      <c r="B28" s="2"/>
      <c r="C28" s="2"/>
    </row>
    <row r="29" ht="15.75" customHeight="1">
      <c r="A29" s="2"/>
      <c r="B29" s="2"/>
      <c r="C29" s="2"/>
    </row>
    <row r="30" ht="15.75" customHeight="1">
      <c r="A30" s="2"/>
      <c r="B30" s="2"/>
      <c r="C30" s="2"/>
    </row>
    <row r="31" ht="15.75" customHeight="1">
      <c r="A31" s="2"/>
      <c r="B31" s="2"/>
      <c r="C31" s="2"/>
    </row>
    <row r="32" ht="15.75" customHeight="1">
      <c r="A32" s="2"/>
      <c r="B32" s="2"/>
      <c r="C32" s="2"/>
    </row>
    <row r="33" ht="15.75" customHeight="1">
      <c r="A33" s="2"/>
      <c r="B33" s="2"/>
      <c r="C33" s="2"/>
    </row>
    <row r="34" ht="15.75" customHeight="1">
      <c r="A34" s="2"/>
      <c r="B34" s="2"/>
      <c r="C34" s="2"/>
    </row>
    <row r="35" ht="15.75" customHeight="1">
      <c r="A35" s="2"/>
      <c r="B35" s="2"/>
      <c r="C35" s="2"/>
    </row>
    <row r="36" ht="15.75" customHeight="1">
      <c r="A36" s="2"/>
      <c r="B36" s="2"/>
      <c r="C36" s="2"/>
    </row>
    <row r="37" ht="15.75" customHeight="1">
      <c r="A37" s="2"/>
      <c r="B37" s="2"/>
      <c r="C37" s="2"/>
    </row>
    <row r="38" ht="15.75" customHeight="1">
      <c r="A38" s="2"/>
      <c r="B38" s="2"/>
      <c r="C38" s="2"/>
    </row>
    <row r="39" ht="15.75" customHeight="1">
      <c r="A39" s="2"/>
      <c r="B39" s="2"/>
      <c r="C39" s="2"/>
    </row>
    <row r="40" ht="15.75" customHeight="1">
      <c r="A40" s="2"/>
      <c r="B40" s="2"/>
      <c r="C40" s="2"/>
    </row>
    <row r="41" ht="15.75" customHeight="1">
      <c r="A41" s="2"/>
      <c r="B41" s="2"/>
      <c r="C41" s="2"/>
    </row>
    <row r="42" ht="15.75" customHeight="1">
      <c r="A42" s="2"/>
      <c r="B42" s="2"/>
      <c r="C42" s="2"/>
    </row>
    <row r="43" ht="15.75" customHeight="1">
      <c r="A43" s="2"/>
      <c r="B43" s="2"/>
      <c r="C43" s="2"/>
    </row>
    <row r="44" ht="15.75" customHeight="1">
      <c r="A44" s="2"/>
      <c r="B44" s="2"/>
      <c r="C44" s="2"/>
    </row>
    <row r="45" ht="15.75" customHeight="1">
      <c r="A45" s="2"/>
      <c r="B45" s="2"/>
      <c r="C45" s="2"/>
    </row>
    <row r="46" ht="15.75" customHeight="1">
      <c r="A46" s="2"/>
      <c r="B46" s="2"/>
      <c r="C46" s="2"/>
    </row>
    <row r="47" ht="15.75" customHeight="1">
      <c r="A47" s="2"/>
      <c r="B47" s="2"/>
      <c r="C47" s="2"/>
    </row>
    <row r="48" ht="15.75" customHeight="1">
      <c r="A48" s="2"/>
      <c r="B48" s="2"/>
      <c r="C48" s="2"/>
    </row>
    <row r="49" ht="15.75" customHeight="1">
      <c r="A49" s="2"/>
      <c r="B49" s="2"/>
      <c r="C49" s="2"/>
    </row>
    <row r="50" ht="15.75" customHeight="1">
      <c r="A50" s="2"/>
      <c r="B50" s="2"/>
      <c r="C50" s="2"/>
    </row>
    <row r="51" ht="15.75" customHeight="1">
      <c r="A51" s="2"/>
      <c r="B51" s="2"/>
      <c r="C51" s="2"/>
    </row>
    <row r="52" ht="15.75" customHeight="1">
      <c r="A52" s="2"/>
      <c r="B52" s="2"/>
      <c r="C52" s="2"/>
    </row>
    <row r="53" ht="15.75" customHeight="1">
      <c r="A53" s="2"/>
      <c r="B53" s="2"/>
      <c r="C53" s="2"/>
    </row>
    <row r="54" ht="15.75" customHeight="1">
      <c r="A54" s="2"/>
      <c r="B54" s="2"/>
      <c r="C54" s="2"/>
    </row>
    <row r="55" ht="15.75" customHeight="1">
      <c r="A55" s="2"/>
      <c r="B55" s="2"/>
      <c r="C55" s="2"/>
    </row>
    <row r="56" ht="15.75" customHeight="1">
      <c r="A56" s="2"/>
      <c r="B56" s="2"/>
      <c r="C56" s="2"/>
    </row>
    <row r="57" ht="15.75" customHeight="1">
      <c r="A57" s="2"/>
      <c r="B57" s="2"/>
      <c r="C57" s="2"/>
    </row>
    <row r="58" ht="15.75" customHeight="1">
      <c r="A58" s="2"/>
      <c r="B58" s="2"/>
      <c r="C58" s="2"/>
    </row>
    <row r="59" ht="15.75" customHeight="1">
      <c r="A59" s="2"/>
      <c r="B59" s="2"/>
      <c r="C59" s="2"/>
    </row>
    <row r="60" ht="15.75" customHeight="1">
      <c r="A60" s="2"/>
      <c r="B60" s="2"/>
      <c r="C60" s="2"/>
    </row>
    <row r="61" ht="15.75" customHeight="1">
      <c r="A61" s="2"/>
      <c r="B61" s="2"/>
      <c r="C61" s="2"/>
    </row>
    <row r="62" ht="15.75" customHeight="1">
      <c r="A62" s="2"/>
      <c r="B62" s="2"/>
      <c r="C62" s="2"/>
    </row>
    <row r="63" ht="15.75" customHeight="1">
      <c r="A63" s="2"/>
      <c r="B63" s="2"/>
      <c r="C63" s="2"/>
    </row>
    <row r="64" ht="15.75" customHeight="1">
      <c r="A64" s="2"/>
      <c r="B64" s="2"/>
      <c r="C64" s="2"/>
    </row>
    <row r="65" ht="15.75" customHeight="1">
      <c r="A65" s="2"/>
      <c r="B65" s="2"/>
      <c r="C65" s="2"/>
    </row>
    <row r="66" ht="15.75" customHeight="1">
      <c r="A66" s="2"/>
      <c r="B66" s="2"/>
      <c r="C66" s="2"/>
    </row>
    <row r="67" ht="15.75" customHeight="1">
      <c r="A67" s="2"/>
      <c r="B67" s="2"/>
      <c r="C67" s="2"/>
    </row>
    <row r="68" ht="15.75" customHeight="1">
      <c r="A68" s="2"/>
      <c r="B68" s="2"/>
      <c r="C68" s="2"/>
    </row>
    <row r="69" ht="15.75" customHeight="1">
      <c r="A69" s="2"/>
      <c r="B69" s="2"/>
      <c r="C69" s="2"/>
    </row>
    <row r="70" ht="15.75" customHeight="1">
      <c r="A70" s="2"/>
      <c r="B70" s="2"/>
      <c r="C70" s="2"/>
    </row>
    <row r="71" ht="15.75" customHeight="1">
      <c r="A71" s="2"/>
      <c r="B71" s="2"/>
      <c r="C71" s="2"/>
    </row>
    <row r="72" ht="15.75" customHeight="1">
      <c r="A72" s="2"/>
      <c r="B72" s="2"/>
      <c r="C72" s="2"/>
    </row>
    <row r="73" ht="15.75" customHeight="1">
      <c r="A73" s="2"/>
      <c r="B73" s="2"/>
      <c r="C73" s="2"/>
    </row>
    <row r="74" ht="15.75" customHeight="1">
      <c r="A74" s="2"/>
      <c r="B74" s="2"/>
      <c r="C74" s="2"/>
    </row>
    <row r="75" ht="15.75" customHeight="1">
      <c r="A75" s="2"/>
      <c r="B75" s="2"/>
      <c r="C75" s="2"/>
    </row>
    <row r="76" ht="15.75" customHeight="1">
      <c r="A76" s="2"/>
      <c r="B76" s="2"/>
      <c r="C76" s="2"/>
    </row>
    <row r="77" ht="15.75" customHeight="1">
      <c r="A77" s="2"/>
      <c r="B77" s="2"/>
      <c r="C77" s="2"/>
    </row>
    <row r="78" ht="15.75" customHeight="1">
      <c r="A78" s="2"/>
      <c r="B78" s="2"/>
      <c r="C78" s="2"/>
    </row>
    <row r="79" ht="15.75" customHeight="1">
      <c r="A79" s="2"/>
      <c r="B79" s="2"/>
      <c r="C79" s="2"/>
    </row>
    <row r="80" ht="15.75" customHeight="1">
      <c r="A80" s="2"/>
      <c r="B80" s="2"/>
      <c r="C80" s="2"/>
    </row>
    <row r="81" ht="15.75" customHeight="1">
      <c r="A81" s="2"/>
      <c r="B81" s="2"/>
      <c r="C81" s="2"/>
    </row>
    <row r="82" ht="15.75" customHeight="1">
      <c r="A82" s="2"/>
      <c r="B82" s="2"/>
      <c r="C82" s="2"/>
    </row>
    <row r="83" ht="15.75" customHeight="1">
      <c r="A83" s="2"/>
      <c r="B83" s="2"/>
      <c r="C83" s="2"/>
    </row>
    <row r="84" ht="15.75" customHeight="1">
      <c r="A84" s="2"/>
      <c r="B84" s="2"/>
      <c r="C84" s="2"/>
    </row>
    <row r="85" ht="15.75" customHeight="1">
      <c r="A85" s="2"/>
      <c r="B85" s="2"/>
      <c r="C85" s="2"/>
    </row>
    <row r="86" ht="15.75" customHeight="1">
      <c r="A86" s="2"/>
      <c r="B86" s="2"/>
      <c r="C86" s="2"/>
    </row>
    <row r="87" ht="15.75" customHeight="1">
      <c r="A87" s="2"/>
      <c r="B87" s="2"/>
      <c r="C87" s="2"/>
    </row>
    <row r="88" ht="15.75" customHeight="1">
      <c r="A88" s="2"/>
      <c r="B88" s="2"/>
      <c r="C88" s="2"/>
    </row>
    <row r="89" ht="15.75" customHeight="1">
      <c r="A89" s="2"/>
      <c r="B89" s="2"/>
      <c r="C89" s="2"/>
    </row>
    <row r="90" ht="15.75" customHeight="1">
      <c r="A90" s="2"/>
      <c r="B90" s="2"/>
      <c r="C90" s="2"/>
    </row>
    <row r="91" ht="15.75" customHeight="1">
      <c r="A91" s="2"/>
      <c r="B91" s="2"/>
      <c r="C91" s="2"/>
    </row>
    <row r="92" ht="15.75" customHeight="1">
      <c r="A92" s="2"/>
      <c r="B92" s="2"/>
      <c r="C92" s="2"/>
    </row>
    <row r="93" ht="15.75" customHeight="1">
      <c r="A93" s="2"/>
      <c r="B93" s="2"/>
      <c r="C93" s="2"/>
    </row>
    <row r="94" ht="15.75" customHeight="1">
      <c r="A94" s="2"/>
      <c r="B94" s="2"/>
      <c r="C94" s="2"/>
    </row>
    <row r="95" ht="15.75" customHeight="1">
      <c r="A95" s="2"/>
      <c r="B95" s="2"/>
      <c r="C95" s="2"/>
    </row>
    <row r="96" ht="15.75" customHeight="1">
      <c r="A96" s="2"/>
      <c r="B96" s="2"/>
      <c r="C96" s="2"/>
    </row>
    <row r="97" ht="15.75" customHeight="1">
      <c r="A97" s="2"/>
      <c r="B97" s="2"/>
      <c r="C97" s="2"/>
    </row>
    <row r="98" ht="15.75" customHeight="1">
      <c r="A98" s="2"/>
      <c r="B98" s="2"/>
      <c r="C98" s="2"/>
    </row>
    <row r="99" ht="15.75" customHeight="1">
      <c r="A99" s="2"/>
      <c r="B99" s="2"/>
      <c r="C99" s="2"/>
    </row>
    <row r="100" ht="15.75" customHeight="1">
      <c r="A100" s="2"/>
      <c r="B100" s="2"/>
      <c r="C100" s="2"/>
    </row>
    <row r="101" ht="15.75" customHeight="1">
      <c r="A101" s="2"/>
      <c r="B101" s="2"/>
      <c r="C101" s="2"/>
    </row>
    <row r="102" ht="15.75" customHeight="1">
      <c r="A102" s="2"/>
      <c r="B102" s="2"/>
      <c r="C102" s="2"/>
    </row>
    <row r="103" ht="15.75" customHeight="1">
      <c r="A103" s="2"/>
      <c r="B103" s="2"/>
      <c r="C103" s="2"/>
    </row>
    <row r="104" ht="15.75" customHeight="1">
      <c r="A104" s="2"/>
      <c r="B104" s="2"/>
      <c r="C104" s="2"/>
    </row>
    <row r="105" ht="15.75" customHeight="1">
      <c r="A105" s="2"/>
      <c r="B105" s="2"/>
      <c r="C105" s="2"/>
    </row>
    <row r="106" ht="15.75" customHeight="1">
      <c r="A106" s="2"/>
      <c r="B106" s="2"/>
      <c r="C106" s="2"/>
    </row>
    <row r="107" ht="15.75" customHeight="1">
      <c r="A107" s="2"/>
      <c r="B107" s="2"/>
      <c r="C107" s="2"/>
    </row>
    <row r="108" ht="15.75" customHeight="1">
      <c r="A108" s="2"/>
      <c r="B108" s="2"/>
      <c r="C108" s="2"/>
    </row>
    <row r="109" ht="15.75" customHeight="1">
      <c r="A109" s="2"/>
      <c r="B109" s="2"/>
      <c r="C109" s="2"/>
    </row>
    <row r="110" ht="15.75" customHeight="1">
      <c r="A110" s="2"/>
      <c r="B110" s="2"/>
      <c r="C110" s="2"/>
    </row>
    <row r="111" ht="15.75" customHeight="1">
      <c r="A111" s="2"/>
      <c r="B111" s="2"/>
      <c r="C111" s="2"/>
    </row>
    <row r="112" ht="15.75" customHeight="1">
      <c r="A112" s="2"/>
      <c r="B112" s="2"/>
      <c r="C112" s="2"/>
    </row>
    <row r="113" ht="15.75" customHeight="1">
      <c r="A113" s="2"/>
      <c r="B113" s="2"/>
      <c r="C113" s="2"/>
    </row>
    <row r="114" ht="15.75" customHeight="1">
      <c r="A114" s="2"/>
      <c r="B114" s="2"/>
      <c r="C114" s="2"/>
    </row>
    <row r="115" ht="15.75" customHeight="1">
      <c r="A115" s="2"/>
      <c r="B115" s="2"/>
      <c r="C115" s="2"/>
    </row>
    <row r="116" ht="15.75" customHeight="1">
      <c r="A116" s="2"/>
      <c r="B116" s="2"/>
      <c r="C116" s="2"/>
    </row>
    <row r="117" ht="15.75" customHeight="1">
      <c r="A117" s="2"/>
      <c r="B117" s="2"/>
      <c r="C117" s="2"/>
    </row>
    <row r="118" ht="15.75" customHeight="1">
      <c r="A118" s="2"/>
      <c r="B118" s="2"/>
      <c r="C118" s="2"/>
    </row>
    <row r="119" ht="15.75" customHeight="1">
      <c r="A119" s="2"/>
      <c r="B119" s="2"/>
      <c r="C119" s="2"/>
    </row>
    <row r="120" ht="15.75" customHeight="1">
      <c r="A120" s="2"/>
      <c r="B120" s="2"/>
      <c r="C120" s="2"/>
    </row>
    <row r="121" ht="15.75" customHeight="1">
      <c r="A121" s="2"/>
      <c r="B121" s="2"/>
      <c r="C121" s="2"/>
    </row>
    <row r="122" ht="15.75" customHeight="1">
      <c r="A122" s="2"/>
      <c r="B122" s="2"/>
      <c r="C122" s="2"/>
    </row>
    <row r="123" ht="15.75" customHeight="1">
      <c r="A123" s="2"/>
      <c r="B123" s="2"/>
      <c r="C123" s="2"/>
    </row>
    <row r="124" ht="15.75" customHeight="1">
      <c r="A124" s="2"/>
      <c r="B124" s="2"/>
      <c r="C124" s="2"/>
    </row>
    <row r="125" ht="15.75" customHeight="1">
      <c r="A125" s="2"/>
      <c r="B125" s="2"/>
      <c r="C125" s="2"/>
    </row>
    <row r="126" ht="15.75" customHeight="1">
      <c r="A126" s="2"/>
      <c r="B126" s="2"/>
      <c r="C126" s="2"/>
    </row>
    <row r="127" ht="15.75" customHeight="1">
      <c r="A127" s="2"/>
      <c r="B127" s="2"/>
      <c r="C127" s="2"/>
    </row>
    <row r="128" ht="15.75" customHeight="1">
      <c r="A128" s="2"/>
      <c r="B128" s="2"/>
      <c r="C128" s="2"/>
    </row>
    <row r="129" ht="15.75" customHeight="1">
      <c r="A129" s="2"/>
      <c r="B129" s="2"/>
      <c r="C129" s="2"/>
    </row>
    <row r="130" ht="15.75" customHeight="1">
      <c r="A130" s="2"/>
      <c r="B130" s="2"/>
      <c r="C130" s="2"/>
    </row>
    <row r="131" ht="15.75" customHeight="1">
      <c r="A131" s="2"/>
      <c r="B131" s="2"/>
      <c r="C131" s="2"/>
    </row>
    <row r="132" ht="15.75" customHeight="1">
      <c r="A132" s="2"/>
      <c r="B132" s="2"/>
      <c r="C132" s="2"/>
    </row>
    <row r="133" ht="15.75" customHeight="1">
      <c r="A133" s="2"/>
      <c r="B133" s="2"/>
      <c r="C133" s="2"/>
    </row>
    <row r="134" ht="15.75" customHeight="1">
      <c r="A134" s="2"/>
      <c r="B134" s="2"/>
      <c r="C134" s="2"/>
    </row>
    <row r="135" ht="15.75" customHeight="1">
      <c r="A135" s="2"/>
      <c r="B135" s="2"/>
      <c r="C135" s="2"/>
    </row>
    <row r="136" ht="15.75" customHeight="1">
      <c r="A136" s="2"/>
      <c r="B136" s="2"/>
      <c r="C136" s="2"/>
    </row>
    <row r="137" ht="15.75" customHeight="1">
      <c r="A137" s="2"/>
      <c r="B137" s="2"/>
      <c r="C137" s="2"/>
    </row>
    <row r="138" ht="15.75" customHeight="1">
      <c r="A138" s="2"/>
      <c r="B138" s="2"/>
      <c r="C138" s="2"/>
    </row>
    <row r="139" ht="15.75" customHeight="1">
      <c r="A139" s="2"/>
      <c r="B139" s="2"/>
      <c r="C139" s="2"/>
    </row>
    <row r="140" ht="15.75" customHeight="1">
      <c r="A140" s="2"/>
      <c r="B140" s="2"/>
      <c r="C140" s="2"/>
    </row>
    <row r="141" ht="15.75" customHeight="1">
      <c r="A141" s="2"/>
      <c r="B141" s="2"/>
      <c r="C141" s="2"/>
    </row>
    <row r="142" ht="15.75" customHeight="1">
      <c r="A142" s="2"/>
      <c r="B142" s="2"/>
      <c r="C142" s="2"/>
    </row>
    <row r="143" ht="15.75" customHeight="1">
      <c r="A143" s="2"/>
      <c r="B143" s="2"/>
      <c r="C143" s="2"/>
    </row>
    <row r="144" ht="15.75" customHeight="1">
      <c r="A144" s="2"/>
      <c r="B144" s="2"/>
      <c r="C144" s="2"/>
    </row>
    <row r="145" ht="15.75" customHeight="1">
      <c r="A145" s="2"/>
      <c r="B145" s="2"/>
      <c r="C145" s="2"/>
    </row>
    <row r="146" ht="15.75" customHeight="1">
      <c r="A146" s="2"/>
      <c r="B146" s="2"/>
      <c r="C146" s="2"/>
    </row>
    <row r="147" ht="15.75" customHeight="1">
      <c r="A147" s="2"/>
      <c r="B147" s="2"/>
      <c r="C147" s="2"/>
    </row>
    <row r="148" ht="15.75" customHeight="1">
      <c r="A148" s="2"/>
      <c r="B148" s="2"/>
      <c r="C148" s="2"/>
    </row>
    <row r="149" ht="15.75" customHeight="1">
      <c r="A149" s="2"/>
      <c r="B149" s="2"/>
      <c r="C149" s="2"/>
    </row>
    <row r="150" ht="15.75" customHeight="1">
      <c r="A150" s="2"/>
      <c r="B150" s="2"/>
      <c r="C150" s="2"/>
    </row>
    <row r="151" ht="15.75" customHeight="1">
      <c r="A151" s="2"/>
      <c r="B151" s="2"/>
      <c r="C151" s="2"/>
    </row>
    <row r="152" ht="15.75" customHeight="1">
      <c r="A152" s="2"/>
      <c r="B152" s="2"/>
      <c r="C152" s="2"/>
    </row>
    <row r="153" ht="15.75" customHeight="1">
      <c r="A153" s="2"/>
      <c r="B153" s="2"/>
      <c r="C153" s="2"/>
    </row>
    <row r="154" ht="15.75" customHeight="1">
      <c r="A154" s="2"/>
      <c r="B154" s="2"/>
      <c r="C154" s="2"/>
    </row>
    <row r="155" ht="15.75" customHeight="1">
      <c r="A155" s="2"/>
      <c r="B155" s="2"/>
      <c r="C155" s="2"/>
    </row>
    <row r="156" ht="15.75" customHeight="1">
      <c r="A156" s="2"/>
      <c r="B156" s="2"/>
      <c r="C156" s="2"/>
    </row>
    <row r="157" ht="15.75" customHeight="1">
      <c r="A157" s="2"/>
      <c r="B157" s="2"/>
      <c r="C157" s="2"/>
    </row>
    <row r="158" ht="15.75" customHeight="1">
      <c r="A158" s="2"/>
      <c r="B158" s="2"/>
      <c r="C158" s="2"/>
    </row>
    <row r="159" ht="15.75" customHeight="1">
      <c r="A159" s="2"/>
      <c r="B159" s="2"/>
      <c r="C159" s="2"/>
    </row>
    <row r="160" ht="15.75" customHeight="1">
      <c r="A160" s="2"/>
      <c r="B160" s="2"/>
      <c r="C160" s="2"/>
    </row>
    <row r="161" ht="15.75" customHeight="1">
      <c r="A161" s="2"/>
      <c r="B161" s="2"/>
      <c r="C161" s="2"/>
    </row>
    <row r="162" ht="15.75" customHeight="1">
      <c r="A162" s="2"/>
      <c r="B162" s="2"/>
      <c r="C162" s="2"/>
    </row>
    <row r="163" ht="15.75" customHeight="1">
      <c r="A163" s="2"/>
      <c r="B163" s="2"/>
      <c r="C163" s="2"/>
    </row>
    <row r="164" ht="15.75" customHeight="1">
      <c r="A164" s="2"/>
      <c r="B164" s="2"/>
      <c r="C164" s="2"/>
    </row>
    <row r="165" ht="15.75" customHeight="1">
      <c r="A165" s="2"/>
      <c r="B165" s="2"/>
      <c r="C165" s="2"/>
    </row>
    <row r="166" ht="15.75" customHeight="1">
      <c r="A166" s="2"/>
      <c r="B166" s="2"/>
      <c r="C166" s="2"/>
    </row>
    <row r="167" ht="15.75" customHeight="1">
      <c r="A167" s="2"/>
      <c r="B167" s="2"/>
      <c r="C167" s="2"/>
    </row>
    <row r="168" ht="15.75" customHeight="1">
      <c r="A168" s="2"/>
      <c r="B168" s="2"/>
      <c r="C168" s="2"/>
    </row>
    <row r="169" ht="15.75" customHeight="1">
      <c r="A169" s="2"/>
      <c r="B169" s="2"/>
      <c r="C169" s="2"/>
    </row>
    <row r="170" ht="15.75" customHeight="1">
      <c r="A170" s="2"/>
      <c r="B170" s="2"/>
      <c r="C170" s="2"/>
    </row>
    <row r="171" ht="15.75" customHeight="1">
      <c r="A171" s="2"/>
      <c r="B171" s="2"/>
      <c r="C171" s="2"/>
    </row>
    <row r="172" ht="15.75" customHeight="1">
      <c r="A172" s="2"/>
      <c r="B172" s="2"/>
      <c r="C172" s="2"/>
    </row>
    <row r="173" ht="15.75" customHeight="1">
      <c r="A173" s="2"/>
      <c r="B173" s="2"/>
      <c r="C173" s="2"/>
    </row>
    <row r="174" ht="15.75" customHeight="1">
      <c r="A174" s="2"/>
      <c r="B174" s="2"/>
      <c r="C174" s="2"/>
    </row>
    <row r="175" ht="15.75" customHeight="1">
      <c r="A175" s="2"/>
      <c r="B175" s="2"/>
      <c r="C175" s="2"/>
    </row>
    <row r="176" ht="15.75" customHeight="1">
      <c r="A176" s="2"/>
      <c r="B176" s="2"/>
      <c r="C176" s="2"/>
    </row>
    <row r="177" ht="15.75" customHeight="1">
      <c r="A177" s="2"/>
      <c r="B177" s="2"/>
      <c r="C177" s="2"/>
    </row>
    <row r="178" ht="15.75" customHeight="1">
      <c r="A178" s="2"/>
      <c r="B178" s="2"/>
      <c r="C178" s="2"/>
    </row>
    <row r="179" ht="15.75" customHeight="1">
      <c r="A179" s="2"/>
      <c r="B179" s="2"/>
      <c r="C179" s="2"/>
    </row>
    <row r="180" ht="15.75" customHeight="1">
      <c r="A180" s="2"/>
      <c r="B180" s="2"/>
      <c r="C180" s="2"/>
    </row>
    <row r="181" ht="15.75" customHeight="1">
      <c r="A181" s="2"/>
      <c r="B181" s="2"/>
      <c r="C181" s="2"/>
    </row>
    <row r="182" ht="15.75" customHeight="1">
      <c r="A182" s="2"/>
      <c r="B182" s="2"/>
      <c r="C182" s="2"/>
    </row>
    <row r="183" ht="15.75" customHeight="1">
      <c r="A183" s="2"/>
      <c r="B183" s="2"/>
      <c r="C183" s="2"/>
    </row>
    <row r="184" ht="15.75" customHeight="1">
      <c r="A184" s="2"/>
      <c r="B184" s="2"/>
      <c r="C184" s="2"/>
    </row>
    <row r="185" ht="15.75" customHeight="1">
      <c r="A185" s="2"/>
      <c r="B185" s="2"/>
      <c r="C185" s="2"/>
    </row>
    <row r="186" ht="15.75" customHeight="1">
      <c r="A186" s="2"/>
      <c r="B186" s="2"/>
      <c r="C186" s="2"/>
    </row>
    <row r="187" ht="15.75" customHeight="1">
      <c r="A187" s="2"/>
      <c r="B187" s="2"/>
      <c r="C187" s="2"/>
    </row>
    <row r="188" ht="15.75" customHeight="1">
      <c r="A188" s="2"/>
      <c r="B188" s="2"/>
      <c r="C188" s="2"/>
    </row>
    <row r="189" ht="15.75" customHeight="1">
      <c r="A189" s="2"/>
      <c r="B189" s="2"/>
      <c r="C189" s="2"/>
    </row>
    <row r="190" ht="15.75" customHeight="1">
      <c r="A190" s="2"/>
      <c r="B190" s="2"/>
      <c r="C190" s="2"/>
    </row>
    <row r="191" ht="15.75" customHeight="1">
      <c r="A191" s="2"/>
      <c r="B191" s="2"/>
      <c r="C191" s="2"/>
    </row>
    <row r="192" ht="15.75" customHeight="1">
      <c r="A192" s="2"/>
      <c r="B192" s="2"/>
      <c r="C192" s="2"/>
    </row>
    <row r="193" ht="15.75" customHeight="1">
      <c r="A193" s="2"/>
      <c r="B193" s="2"/>
      <c r="C193" s="2"/>
    </row>
    <row r="194" ht="15.75" customHeight="1">
      <c r="A194" s="2"/>
      <c r="B194" s="2"/>
      <c r="C194" s="2"/>
    </row>
    <row r="195" ht="15.75" customHeight="1">
      <c r="A195" s="2"/>
      <c r="B195" s="2"/>
      <c r="C195" s="2"/>
    </row>
    <row r="196" ht="15.75" customHeight="1">
      <c r="A196" s="2"/>
      <c r="B196" s="2"/>
      <c r="C196" s="2"/>
    </row>
    <row r="197" ht="15.75" customHeight="1">
      <c r="A197" s="2"/>
      <c r="B197" s="2"/>
      <c r="C197" s="2"/>
    </row>
    <row r="198" ht="15.75" customHeight="1">
      <c r="A198" s="2"/>
      <c r="B198" s="2"/>
      <c r="C198" s="2"/>
    </row>
    <row r="199" ht="15.75" customHeight="1">
      <c r="A199" s="2"/>
      <c r="B199" s="2"/>
      <c r="C199" s="2"/>
    </row>
    <row r="200" ht="15.75" customHeight="1">
      <c r="A200" s="2"/>
      <c r="B200" s="2"/>
      <c r="C200" s="2"/>
    </row>
    <row r="201" ht="15.75" customHeight="1">
      <c r="A201" s="2"/>
      <c r="B201" s="2"/>
      <c r="C201" s="2"/>
    </row>
    <row r="202" ht="15.75" customHeight="1">
      <c r="A202" s="2"/>
      <c r="B202" s="2"/>
      <c r="C202" s="2"/>
    </row>
    <row r="203" ht="15.75" customHeight="1">
      <c r="A203" s="2"/>
      <c r="B203" s="2"/>
      <c r="C203" s="2"/>
    </row>
    <row r="204" ht="15.75" customHeight="1">
      <c r="A204" s="2"/>
      <c r="B204" s="2"/>
      <c r="C204" s="2"/>
    </row>
    <row r="205" ht="15.75" customHeight="1">
      <c r="A205" s="2"/>
      <c r="B205" s="2"/>
      <c r="C205" s="2"/>
    </row>
    <row r="206" ht="15.75" customHeight="1">
      <c r="A206" s="2"/>
      <c r="B206" s="2"/>
      <c r="C206" s="2"/>
    </row>
    <row r="207" ht="15.75" customHeight="1">
      <c r="A207" s="2"/>
      <c r="B207" s="2"/>
      <c r="C207" s="2"/>
    </row>
    <row r="208" ht="15.75" customHeight="1">
      <c r="A208" s="2"/>
      <c r="B208" s="2"/>
      <c r="C208" s="2"/>
    </row>
    <row r="209" ht="15.75" customHeight="1">
      <c r="A209" s="2"/>
      <c r="B209" s="2"/>
      <c r="C209" s="2"/>
    </row>
    <row r="210" ht="15.75" customHeight="1">
      <c r="A210" s="2"/>
      <c r="B210" s="2"/>
      <c r="C210" s="2"/>
    </row>
    <row r="211" ht="15.75" customHeight="1">
      <c r="A211" s="2"/>
      <c r="B211" s="2"/>
      <c r="C211" s="2"/>
    </row>
    <row r="212" ht="15.75" customHeight="1">
      <c r="A212" s="2"/>
      <c r="B212" s="2"/>
      <c r="C212" s="2"/>
    </row>
    <row r="213" ht="15.75" customHeight="1">
      <c r="A213" s="2"/>
      <c r="B213" s="2"/>
      <c r="C213" s="2"/>
    </row>
    <row r="214" ht="15.75" customHeight="1">
      <c r="A214" s="2"/>
      <c r="B214" s="2"/>
      <c r="C214" s="2"/>
    </row>
    <row r="215" ht="15.75" customHeight="1">
      <c r="A215" s="2"/>
      <c r="B215" s="2"/>
      <c r="C215" s="2"/>
    </row>
    <row r="216" ht="15.75" customHeight="1">
      <c r="A216" s="2"/>
      <c r="B216" s="2"/>
      <c r="C216" s="2"/>
    </row>
    <row r="217" ht="15.75" customHeight="1">
      <c r="A217" s="2"/>
      <c r="B217" s="2"/>
      <c r="C217" s="2"/>
    </row>
    <row r="218" ht="15.75" customHeight="1">
      <c r="A218" s="2"/>
      <c r="B218" s="2"/>
      <c r="C218" s="2"/>
    </row>
    <row r="219" ht="15.75" customHeight="1">
      <c r="A219" s="2"/>
      <c r="B219" s="2"/>
      <c r="C219" s="2"/>
    </row>
    <row r="220" ht="15.75" customHeight="1">
      <c r="A220" s="2"/>
      <c r="B220" s="2"/>
      <c r="C220" s="2"/>
    </row>
    <row r="221" ht="15.75" customHeight="1">
      <c r="A221" s="2"/>
      <c r="B221" s="2"/>
      <c r="C221" s="2"/>
    </row>
    <row r="222" ht="15.75" customHeight="1">
      <c r="A222" s="2"/>
      <c r="B222" s="2"/>
      <c r="C222" s="2"/>
    </row>
    <row r="223" ht="15.75" customHeight="1">
      <c r="A223" s="2"/>
      <c r="B223" s="2"/>
      <c r="C223" s="2"/>
    </row>
    <row r="224" ht="15.75" customHeight="1">
      <c r="A224" s="2"/>
      <c r="B224" s="2"/>
      <c r="C224" s="2"/>
    </row>
    <row r="225" ht="15.75" customHeight="1">
      <c r="A225" s="2"/>
      <c r="B225" s="2"/>
      <c r="C225" s="2"/>
    </row>
    <row r="226" ht="15.75" customHeight="1">
      <c r="A226" s="2"/>
      <c r="B226" s="2"/>
      <c r="C226" s="2"/>
    </row>
    <row r="227" ht="15.75" customHeight="1">
      <c r="A227" s="2"/>
      <c r="B227" s="2"/>
      <c r="C227" s="2"/>
    </row>
    <row r="228" ht="15.75" customHeight="1">
      <c r="A228" s="2"/>
      <c r="B228" s="2"/>
      <c r="C228" s="2"/>
    </row>
    <row r="229" ht="15.75" customHeight="1">
      <c r="A229" s="2"/>
      <c r="B229" s="2"/>
      <c r="C229" s="2"/>
    </row>
    <row r="230" ht="15.75" customHeight="1">
      <c r="A230" s="2"/>
      <c r="B230" s="2"/>
      <c r="C230" s="2"/>
    </row>
    <row r="231" ht="15.75" customHeight="1">
      <c r="A231" s="2"/>
      <c r="B231" s="2"/>
      <c r="C231" s="2"/>
    </row>
    <row r="232" ht="15.75" customHeight="1">
      <c r="A232" s="2"/>
      <c r="B232" s="2"/>
      <c r="C232" s="2"/>
    </row>
    <row r="233" ht="15.75" customHeight="1">
      <c r="A233" s="2"/>
      <c r="B233" s="2"/>
      <c r="C233" s="2"/>
    </row>
    <row r="234" ht="15.75" customHeight="1">
      <c r="A234" s="2"/>
      <c r="B234" s="2"/>
      <c r="C234" s="2"/>
    </row>
    <row r="235" ht="15.75" customHeight="1">
      <c r="A235" s="2"/>
      <c r="B235" s="2"/>
      <c r="C235" s="2"/>
    </row>
    <row r="236" ht="15.75" customHeight="1">
      <c r="A236" s="2"/>
      <c r="B236" s="2"/>
      <c r="C236" s="2"/>
    </row>
    <row r="237" ht="15.75" customHeight="1">
      <c r="A237" s="2"/>
      <c r="B237" s="2"/>
      <c r="C237" s="2"/>
    </row>
    <row r="238" ht="15.75" customHeight="1">
      <c r="A238" s="2"/>
      <c r="B238" s="2"/>
      <c r="C238" s="2"/>
    </row>
    <row r="239" ht="15.75" customHeight="1">
      <c r="A239" s="2"/>
      <c r="B239" s="2"/>
      <c r="C239" s="2"/>
    </row>
    <row r="240" ht="15.75" customHeight="1">
      <c r="A240" s="2"/>
      <c r="B240" s="2"/>
      <c r="C240" s="2"/>
    </row>
    <row r="241" ht="15.75" customHeight="1">
      <c r="A241" s="2"/>
      <c r="B241" s="2"/>
      <c r="C241" s="2"/>
    </row>
    <row r="242" ht="15.75" customHeight="1">
      <c r="A242" s="2"/>
      <c r="B242" s="2"/>
      <c r="C242" s="2"/>
    </row>
    <row r="243" ht="15.75" customHeight="1">
      <c r="A243" s="2"/>
      <c r="B243" s="2"/>
      <c r="C243" s="2"/>
    </row>
    <row r="244" ht="15.75" customHeight="1">
      <c r="A244" s="2"/>
      <c r="B244" s="2"/>
      <c r="C244" s="2"/>
    </row>
    <row r="245" ht="15.75" customHeight="1">
      <c r="A245" s="2"/>
      <c r="B245" s="2"/>
      <c r="C245" s="2"/>
    </row>
    <row r="246" ht="15.75" customHeight="1">
      <c r="A246" s="2"/>
      <c r="B246" s="2"/>
      <c r="C246" s="2"/>
    </row>
    <row r="247" ht="15.75" customHeight="1">
      <c r="A247" s="2"/>
      <c r="B247" s="2"/>
      <c r="C247" s="2"/>
    </row>
    <row r="248" ht="15.75" customHeight="1">
      <c r="A248" s="2"/>
      <c r="B248" s="2"/>
      <c r="C248" s="2"/>
    </row>
    <row r="249" ht="15.75" customHeight="1">
      <c r="A249" s="2"/>
      <c r="B249" s="2"/>
      <c r="C249" s="2"/>
    </row>
    <row r="250" ht="15.75" customHeight="1">
      <c r="A250" s="2"/>
      <c r="B250" s="2"/>
      <c r="C250" s="2"/>
    </row>
    <row r="251" ht="15.75" customHeight="1">
      <c r="A251" s="2"/>
      <c r="B251" s="2"/>
      <c r="C251" s="2"/>
    </row>
    <row r="252" ht="15.75" customHeight="1">
      <c r="A252" s="2"/>
      <c r="B252" s="2"/>
      <c r="C252" s="2"/>
    </row>
    <row r="253" ht="15.75" customHeight="1">
      <c r="A253" s="2"/>
      <c r="B253" s="2"/>
      <c r="C253" s="2"/>
    </row>
    <row r="254" ht="15.75" customHeight="1">
      <c r="A254" s="2"/>
      <c r="B254" s="2"/>
      <c r="C254" s="2"/>
    </row>
    <row r="255" ht="15.75" customHeight="1">
      <c r="A255" s="2"/>
      <c r="B255" s="2"/>
      <c r="C255" s="2"/>
    </row>
    <row r="256" ht="15.75" customHeight="1">
      <c r="A256" s="2"/>
      <c r="B256" s="2"/>
      <c r="C256" s="2"/>
    </row>
    <row r="257" ht="15.75" customHeight="1">
      <c r="A257" s="2"/>
      <c r="B257" s="2"/>
      <c r="C257" s="2"/>
    </row>
    <row r="258" ht="15.75" customHeight="1">
      <c r="A258" s="2"/>
      <c r="B258" s="2"/>
      <c r="C258" s="2"/>
    </row>
    <row r="259" ht="15.75" customHeight="1">
      <c r="A259" s="2"/>
      <c r="B259" s="2"/>
      <c r="C259" s="2"/>
    </row>
    <row r="260" ht="15.75" customHeight="1">
      <c r="A260" s="2"/>
      <c r="B260" s="2"/>
      <c r="C260" s="2"/>
    </row>
    <row r="261" ht="15.75" customHeight="1">
      <c r="A261" s="2"/>
      <c r="B261" s="2"/>
      <c r="C261" s="2"/>
    </row>
    <row r="262" ht="15.75" customHeight="1">
      <c r="A262" s="2"/>
      <c r="B262" s="2"/>
      <c r="C262" s="2"/>
    </row>
    <row r="263" ht="15.75" customHeight="1">
      <c r="A263" s="2"/>
      <c r="B263" s="2"/>
      <c r="C263" s="2"/>
    </row>
    <row r="264" ht="15.75" customHeight="1">
      <c r="A264" s="2"/>
      <c r="B264" s="2"/>
      <c r="C264" s="2"/>
    </row>
    <row r="265" ht="15.75" customHeight="1">
      <c r="A265" s="2"/>
      <c r="B265" s="2"/>
      <c r="C265" s="2"/>
    </row>
    <row r="266" ht="15.75" customHeight="1">
      <c r="A266" s="2"/>
      <c r="B266" s="2"/>
      <c r="C266" s="2"/>
    </row>
    <row r="267" ht="15.75" customHeight="1">
      <c r="A267" s="2"/>
      <c r="B267" s="2"/>
      <c r="C267" s="2"/>
    </row>
    <row r="268" ht="15.75" customHeight="1">
      <c r="A268" s="2"/>
      <c r="B268" s="2"/>
      <c r="C268" s="2"/>
    </row>
    <row r="269" ht="15.75" customHeight="1">
      <c r="A269" s="2"/>
      <c r="B269" s="2"/>
      <c r="C269" s="2"/>
    </row>
    <row r="270" ht="15.75" customHeight="1">
      <c r="A270" s="2"/>
      <c r="B270" s="2"/>
      <c r="C270" s="2"/>
    </row>
    <row r="271" ht="15.75" customHeight="1">
      <c r="A271" s="2"/>
      <c r="B271" s="2"/>
      <c r="C271" s="2"/>
    </row>
    <row r="272" ht="15.75" customHeight="1">
      <c r="A272" s="2"/>
      <c r="B272" s="2"/>
      <c r="C272" s="2"/>
    </row>
    <row r="273" ht="15.75" customHeight="1">
      <c r="A273" s="2"/>
      <c r="B273" s="2"/>
      <c r="C273" s="2"/>
    </row>
    <row r="274" ht="15.75" customHeight="1">
      <c r="A274" s="2"/>
      <c r="B274" s="2"/>
      <c r="C274" s="2"/>
    </row>
    <row r="275" ht="15.75" customHeight="1">
      <c r="A275" s="2"/>
      <c r="B275" s="2"/>
      <c r="C275" s="2"/>
    </row>
    <row r="276" ht="15.75" customHeight="1">
      <c r="A276" s="2"/>
      <c r="B276" s="2"/>
      <c r="C276" s="2"/>
    </row>
    <row r="277" ht="15.75" customHeight="1">
      <c r="A277" s="2"/>
      <c r="B277" s="2"/>
      <c r="C277" s="2"/>
    </row>
    <row r="278" ht="15.75" customHeight="1">
      <c r="A278" s="2"/>
      <c r="B278" s="2"/>
      <c r="C278" s="2"/>
    </row>
    <row r="279" ht="15.75" customHeight="1">
      <c r="A279" s="2"/>
      <c r="B279" s="2"/>
      <c r="C279" s="2"/>
    </row>
    <row r="280" ht="15.75" customHeight="1">
      <c r="A280" s="2"/>
      <c r="B280" s="2"/>
      <c r="C280" s="2"/>
    </row>
    <row r="281" ht="15.75" customHeight="1">
      <c r="A281" s="2"/>
      <c r="B281" s="2"/>
      <c r="C281" s="2"/>
    </row>
    <row r="282" ht="15.75" customHeight="1">
      <c r="A282" s="2"/>
      <c r="B282" s="2"/>
      <c r="C282" s="2"/>
    </row>
    <row r="283" ht="15.75" customHeight="1">
      <c r="A283" s="2"/>
      <c r="B283" s="2"/>
      <c r="C283" s="2"/>
    </row>
    <row r="284" ht="15.75" customHeight="1">
      <c r="A284" s="2"/>
      <c r="B284" s="2"/>
      <c r="C284" s="2"/>
    </row>
    <row r="285" ht="15.75" customHeight="1">
      <c r="A285" s="2"/>
      <c r="B285" s="2"/>
      <c r="C285" s="2"/>
    </row>
    <row r="286" ht="15.75" customHeight="1">
      <c r="A286" s="2"/>
      <c r="B286" s="2"/>
      <c r="C286" s="2"/>
    </row>
    <row r="287" ht="15.75" customHeight="1">
      <c r="A287" s="2"/>
      <c r="B287" s="2"/>
      <c r="C287" s="2"/>
    </row>
    <row r="288" ht="15.75" customHeight="1">
      <c r="A288" s="2"/>
      <c r="B288" s="2"/>
      <c r="C288" s="2"/>
    </row>
    <row r="289" ht="15.75" customHeight="1">
      <c r="A289" s="2"/>
      <c r="B289" s="2"/>
      <c r="C289" s="2"/>
    </row>
    <row r="290" ht="15.75" customHeight="1">
      <c r="A290" s="2"/>
      <c r="B290" s="2"/>
      <c r="C290" s="2"/>
    </row>
    <row r="291" ht="15.75" customHeight="1">
      <c r="A291" s="2"/>
      <c r="B291" s="2"/>
      <c r="C291" s="2"/>
    </row>
    <row r="292" ht="15.75" customHeight="1">
      <c r="A292" s="2"/>
      <c r="B292" s="2"/>
      <c r="C292" s="2"/>
    </row>
    <row r="293" ht="15.75" customHeight="1">
      <c r="A293" s="2"/>
      <c r="B293" s="2"/>
      <c r="C293" s="2"/>
    </row>
    <row r="294" ht="15.75" customHeight="1">
      <c r="A294" s="2"/>
      <c r="B294" s="2"/>
      <c r="C294" s="2"/>
    </row>
    <row r="295" ht="15.75" customHeight="1">
      <c r="A295" s="2"/>
      <c r="B295" s="2"/>
      <c r="C295" s="2"/>
    </row>
    <row r="296" ht="15.75" customHeight="1">
      <c r="A296" s="2"/>
      <c r="B296" s="2"/>
      <c r="C296" s="2"/>
    </row>
    <row r="297" ht="15.75" customHeight="1">
      <c r="A297" s="2"/>
      <c r="B297" s="2"/>
      <c r="C297" s="2"/>
    </row>
    <row r="298" ht="15.75" customHeight="1">
      <c r="A298" s="2"/>
      <c r="B298" s="2"/>
      <c r="C298" s="2"/>
    </row>
    <row r="299" ht="15.75" customHeight="1">
      <c r="A299" s="2"/>
      <c r="B299" s="2"/>
      <c r="C299" s="2"/>
    </row>
    <row r="300" ht="15.75" customHeight="1">
      <c r="A300" s="2"/>
      <c r="B300" s="2"/>
      <c r="C300" s="2"/>
    </row>
    <row r="301" ht="15.75" customHeight="1">
      <c r="A301" s="2"/>
      <c r="B301" s="2"/>
      <c r="C301" s="2"/>
    </row>
    <row r="302" ht="15.75" customHeight="1">
      <c r="A302" s="2"/>
      <c r="B302" s="2"/>
      <c r="C302" s="2"/>
    </row>
    <row r="303" ht="15.75" customHeight="1">
      <c r="A303" s="2"/>
      <c r="B303" s="2"/>
      <c r="C303" s="2"/>
    </row>
    <row r="304" ht="15.75" customHeight="1">
      <c r="A304" s="2"/>
      <c r="B304" s="2"/>
      <c r="C304" s="2"/>
    </row>
    <row r="305" ht="15.75" customHeight="1">
      <c r="A305" s="2"/>
      <c r="B305" s="2"/>
      <c r="C305" s="2"/>
    </row>
    <row r="306" ht="15.75" customHeight="1">
      <c r="A306" s="2"/>
      <c r="B306" s="2"/>
      <c r="C306" s="2"/>
    </row>
    <row r="307" ht="15.75" customHeight="1">
      <c r="A307" s="2"/>
      <c r="B307" s="2"/>
      <c r="C307" s="2"/>
    </row>
    <row r="308" ht="15.75" customHeight="1">
      <c r="A308" s="2"/>
      <c r="B308" s="2"/>
      <c r="C308" s="2"/>
    </row>
    <row r="309" ht="15.75" customHeight="1">
      <c r="A309" s="2"/>
      <c r="B309" s="2"/>
      <c r="C309" s="2"/>
    </row>
    <row r="310" ht="15.75" customHeight="1">
      <c r="A310" s="2"/>
      <c r="B310" s="2"/>
      <c r="C310" s="2"/>
    </row>
    <row r="311" ht="15.75" customHeight="1">
      <c r="A311" s="2"/>
      <c r="B311" s="2"/>
      <c r="C311" s="2"/>
    </row>
    <row r="312" ht="15.75" customHeight="1">
      <c r="A312" s="2"/>
      <c r="B312" s="2"/>
      <c r="C312" s="2"/>
    </row>
    <row r="313" ht="15.75" customHeight="1">
      <c r="A313" s="2"/>
      <c r="B313" s="2"/>
      <c r="C313" s="2"/>
    </row>
    <row r="314" ht="15.75" customHeight="1">
      <c r="A314" s="2"/>
      <c r="B314" s="2"/>
      <c r="C314" s="2"/>
    </row>
    <row r="315" ht="15.75" customHeight="1">
      <c r="A315" s="2"/>
      <c r="B315" s="2"/>
      <c r="C315" s="2"/>
    </row>
    <row r="316" ht="15.75" customHeight="1">
      <c r="A316" s="2"/>
      <c r="B316" s="2"/>
      <c r="C316" s="2"/>
    </row>
    <row r="317" ht="15.75" customHeight="1">
      <c r="A317" s="2"/>
      <c r="B317" s="2"/>
      <c r="C317" s="2"/>
    </row>
    <row r="318" ht="15.75" customHeight="1">
      <c r="A318" s="2"/>
      <c r="B318" s="2"/>
      <c r="C318" s="2"/>
    </row>
    <row r="319" ht="15.75" customHeight="1">
      <c r="A319" s="2"/>
      <c r="B319" s="2"/>
      <c r="C319" s="2"/>
    </row>
    <row r="320" ht="15.75" customHeight="1">
      <c r="A320" s="2"/>
      <c r="B320" s="2"/>
      <c r="C320" s="2"/>
    </row>
    <row r="321" ht="15.75" customHeight="1">
      <c r="A321" s="2"/>
      <c r="B321" s="2"/>
      <c r="C321" s="2"/>
    </row>
    <row r="322" ht="15.75" customHeight="1">
      <c r="A322" s="2"/>
      <c r="B322" s="2"/>
      <c r="C322" s="2"/>
    </row>
    <row r="323" ht="15.75" customHeight="1">
      <c r="A323" s="2"/>
      <c r="B323" s="2"/>
      <c r="C323" s="2"/>
    </row>
    <row r="324" ht="15.75" customHeight="1">
      <c r="A324" s="2"/>
      <c r="B324" s="2"/>
      <c r="C324" s="2"/>
    </row>
    <row r="325" ht="15.75" customHeight="1">
      <c r="A325" s="2"/>
      <c r="B325" s="2"/>
      <c r="C325" s="2"/>
    </row>
    <row r="326" ht="15.75" customHeight="1">
      <c r="A326" s="2"/>
      <c r="B326" s="2"/>
      <c r="C326" s="2"/>
    </row>
    <row r="327" ht="15.75" customHeight="1">
      <c r="A327" s="2"/>
      <c r="B327" s="2"/>
      <c r="C327" s="2"/>
    </row>
    <row r="328" ht="15.75" customHeight="1">
      <c r="A328" s="2"/>
      <c r="B328" s="2"/>
      <c r="C328" s="2"/>
    </row>
    <row r="329" ht="15.75" customHeight="1">
      <c r="A329" s="2"/>
      <c r="B329" s="2"/>
      <c r="C329" s="2"/>
    </row>
    <row r="330" ht="15.75" customHeight="1">
      <c r="A330" s="2"/>
      <c r="B330" s="2"/>
      <c r="C330" s="2"/>
    </row>
    <row r="331" ht="15.75" customHeight="1">
      <c r="A331" s="2"/>
      <c r="B331" s="2"/>
      <c r="C331" s="2"/>
    </row>
    <row r="332" ht="15.75" customHeight="1">
      <c r="A332" s="2"/>
      <c r="B332" s="2"/>
      <c r="C332" s="2"/>
    </row>
    <row r="333" ht="15.75" customHeight="1">
      <c r="A333" s="2"/>
      <c r="B333" s="2"/>
      <c r="C333" s="2"/>
    </row>
    <row r="334" ht="15.75" customHeight="1">
      <c r="A334" s="2"/>
      <c r="B334" s="2"/>
      <c r="C334" s="2"/>
    </row>
    <row r="335" ht="15.75" customHeight="1">
      <c r="A335" s="2"/>
      <c r="B335" s="2"/>
      <c r="C335" s="2"/>
    </row>
    <row r="336" ht="15.75" customHeight="1">
      <c r="A336" s="2"/>
      <c r="B336" s="2"/>
      <c r="C336" s="2"/>
    </row>
    <row r="337" ht="15.75" customHeight="1">
      <c r="A337" s="2"/>
      <c r="B337" s="2"/>
      <c r="C337" s="2"/>
    </row>
    <row r="338" ht="15.75" customHeight="1">
      <c r="A338" s="2"/>
      <c r="B338" s="2"/>
      <c r="C338" s="2"/>
    </row>
    <row r="339" ht="15.75" customHeight="1">
      <c r="A339" s="2"/>
      <c r="B339" s="2"/>
      <c r="C339" s="2"/>
    </row>
    <row r="340" ht="15.75" customHeight="1">
      <c r="A340" s="2"/>
      <c r="B340" s="2"/>
      <c r="C340" s="2"/>
    </row>
    <row r="341" ht="15.75" customHeight="1">
      <c r="A341" s="2"/>
      <c r="B341" s="2"/>
      <c r="C341" s="2"/>
    </row>
    <row r="342" ht="15.75" customHeight="1">
      <c r="A342" s="2"/>
      <c r="B342" s="2"/>
      <c r="C342" s="2"/>
    </row>
    <row r="343" ht="15.75" customHeight="1">
      <c r="A343" s="2"/>
      <c r="B343" s="2"/>
      <c r="C343" s="2"/>
    </row>
    <row r="344" ht="15.75" customHeight="1">
      <c r="A344" s="2"/>
      <c r="B344" s="2"/>
      <c r="C344" s="2"/>
    </row>
    <row r="345" ht="15.75" customHeight="1">
      <c r="A345" s="2"/>
      <c r="B345" s="2"/>
      <c r="C345" s="2"/>
    </row>
    <row r="346" ht="15.75" customHeight="1">
      <c r="A346" s="2"/>
      <c r="B346" s="2"/>
      <c r="C346" s="2"/>
    </row>
    <row r="347" ht="15.75" customHeight="1">
      <c r="A347" s="2"/>
      <c r="B347" s="2"/>
      <c r="C347" s="2"/>
    </row>
    <row r="348" ht="15.75" customHeight="1">
      <c r="A348" s="2"/>
      <c r="B348" s="2"/>
      <c r="C348" s="2"/>
    </row>
    <row r="349" ht="15.75" customHeight="1">
      <c r="A349" s="2"/>
      <c r="B349" s="2"/>
      <c r="C349" s="2"/>
    </row>
    <row r="350" ht="15.75" customHeight="1">
      <c r="A350" s="2"/>
      <c r="B350" s="2"/>
      <c r="C350" s="2"/>
    </row>
    <row r="351" ht="15.75" customHeight="1">
      <c r="A351" s="2"/>
      <c r="B351" s="2"/>
      <c r="C351" s="2"/>
    </row>
    <row r="352" ht="15.75" customHeight="1">
      <c r="A352" s="2"/>
      <c r="B352" s="2"/>
      <c r="C352" s="2"/>
    </row>
    <row r="353" ht="15.75" customHeight="1">
      <c r="A353" s="2"/>
      <c r="B353" s="2"/>
      <c r="C353" s="2"/>
    </row>
    <row r="354" ht="15.75" customHeight="1">
      <c r="A354" s="2"/>
      <c r="B354" s="2"/>
      <c r="C354" s="2"/>
    </row>
    <row r="355" ht="15.75" customHeight="1">
      <c r="A355" s="2"/>
      <c r="B355" s="2"/>
      <c r="C355" s="2"/>
    </row>
    <row r="356" ht="15.75" customHeight="1">
      <c r="A356" s="2"/>
      <c r="B356" s="2"/>
      <c r="C356" s="2"/>
    </row>
    <row r="357" ht="15.75" customHeight="1">
      <c r="A357" s="2"/>
      <c r="B357" s="2"/>
      <c r="C357" s="2"/>
    </row>
    <row r="358" ht="15.75" customHeight="1">
      <c r="A358" s="2"/>
      <c r="B358" s="2"/>
      <c r="C358" s="2"/>
    </row>
    <row r="359" ht="15.75" customHeight="1">
      <c r="A359" s="2"/>
      <c r="B359" s="2"/>
      <c r="C359" s="2"/>
    </row>
    <row r="360" ht="15.75" customHeight="1">
      <c r="A360" s="2"/>
      <c r="B360" s="2"/>
      <c r="C360" s="2"/>
    </row>
    <row r="361" ht="15.75" customHeight="1">
      <c r="A361" s="2"/>
      <c r="B361" s="2"/>
      <c r="C361" s="2"/>
    </row>
    <row r="362" ht="15.75" customHeight="1">
      <c r="A362" s="2"/>
      <c r="B362" s="2"/>
      <c r="C362" s="2"/>
    </row>
    <row r="363" ht="15.75" customHeight="1">
      <c r="A363" s="2"/>
      <c r="B363" s="2"/>
      <c r="C363" s="2"/>
    </row>
    <row r="364" ht="15.75" customHeight="1">
      <c r="A364" s="2"/>
      <c r="B364" s="2"/>
      <c r="C364" s="2"/>
    </row>
    <row r="365" ht="15.75" customHeight="1">
      <c r="A365" s="2"/>
      <c r="B365" s="2"/>
      <c r="C365" s="2"/>
    </row>
    <row r="366" ht="15.75" customHeight="1">
      <c r="A366" s="2"/>
      <c r="B366" s="2"/>
      <c r="C366" s="2"/>
    </row>
    <row r="367" ht="15.75" customHeight="1">
      <c r="A367" s="2"/>
      <c r="B367" s="2"/>
      <c r="C367" s="2"/>
    </row>
    <row r="368" ht="15.75" customHeight="1">
      <c r="A368" s="2"/>
      <c r="B368" s="2"/>
      <c r="C368" s="2"/>
    </row>
    <row r="369" ht="15.75" customHeight="1">
      <c r="A369" s="2"/>
      <c r="B369" s="2"/>
      <c r="C369" s="2"/>
    </row>
    <row r="370" ht="15.75" customHeight="1">
      <c r="A370" s="2"/>
      <c r="B370" s="2"/>
      <c r="C370" s="2"/>
    </row>
    <row r="371" ht="15.75" customHeight="1">
      <c r="A371" s="2"/>
      <c r="B371" s="2"/>
      <c r="C371" s="2"/>
    </row>
    <row r="372" ht="15.75" customHeight="1">
      <c r="A372" s="2"/>
      <c r="B372" s="2"/>
      <c r="C372" s="2"/>
    </row>
    <row r="373" ht="15.75" customHeight="1">
      <c r="A373" s="2"/>
      <c r="B373" s="2"/>
      <c r="C373" s="2"/>
    </row>
    <row r="374" ht="15.75" customHeight="1">
      <c r="A374" s="2"/>
      <c r="B374" s="2"/>
      <c r="C374" s="2"/>
    </row>
    <row r="375" ht="15.75" customHeight="1">
      <c r="A375" s="2"/>
      <c r="B375" s="2"/>
      <c r="C375" s="2"/>
    </row>
    <row r="376" ht="15.75" customHeight="1">
      <c r="A376" s="2"/>
      <c r="B376" s="2"/>
      <c r="C376" s="2"/>
    </row>
    <row r="377" ht="15.75" customHeight="1">
      <c r="A377" s="2"/>
      <c r="B377" s="2"/>
      <c r="C377" s="2"/>
    </row>
    <row r="378" ht="15.75" customHeight="1">
      <c r="A378" s="2"/>
      <c r="B378" s="2"/>
      <c r="C378" s="2"/>
    </row>
    <row r="379" ht="15.75" customHeight="1">
      <c r="A379" s="2"/>
      <c r="B379" s="2"/>
      <c r="C379" s="2"/>
    </row>
    <row r="380" ht="15.75" customHeight="1">
      <c r="A380" s="2"/>
      <c r="B380" s="2"/>
      <c r="C380" s="2"/>
    </row>
    <row r="381" ht="15.75" customHeight="1">
      <c r="A381" s="2"/>
      <c r="B381" s="2"/>
      <c r="C381" s="2"/>
    </row>
    <row r="382" ht="15.75" customHeight="1">
      <c r="A382" s="2"/>
      <c r="B382" s="2"/>
      <c r="C382" s="2"/>
    </row>
    <row r="383" ht="15.75" customHeight="1">
      <c r="A383" s="2"/>
      <c r="B383" s="2"/>
      <c r="C383" s="2"/>
    </row>
    <row r="384" ht="15.75" customHeight="1">
      <c r="A384" s="2"/>
      <c r="B384" s="2"/>
      <c r="C384" s="2"/>
    </row>
    <row r="385" ht="15.75" customHeight="1">
      <c r="A385" s="2"/>
      <c r="B385" s="2"/>
      <c r="C385" s="2"/>
    </row>
    <row r="386" ht="15.75" customHeight="1">
      <c r="A386" s="2"/>
      <c r="B386" s="2"/>
      <c r="C386" s="2"/>
    </row>
    <row r="387" ht="15.75" customHeight="1">
      <c r="A387" s="2"/>
      <c r="B387" s="2"/>
      <c r="C387" s="2"/>
    </row>
    <row r="388" ht="15.75" customHeight="1">
      <c r="A388" s="2"/>
      <c r="B388" s="2"/>
      <c r="C388" s="2"/>
    </row>
    <row r="389" ht="15.75" customHeight="1">
      <c r="A389" s="2"/>
      <c r="B389" s="2"/>
      <c r="C389" s="2"/>
    </row>
    <row r="390" ht="15.75" customHeight="1">
      <c r="A390" s="2"/>
      <c r="B390" s="2"/>
      <c r="C390" s="2"/>
    </row>
    <row r="391" ht="15.75" customHeight="1">
      <c r="A391" s="2"/>
      <c r="B391" s="2"/>
      <c r="C391" s="2"/>
    </row>
    <row r="392" ht="15.75" customHeight="1">
      <c r="A392" s="2"/>
      <c r="B392" s="2"/>
      <c r="C392" s="2"/>
    </row>
    <row r="393" ht="15.75" customHeight="1">
      <c r="A393" s="2"/>
      <c r="B393" s="2"/>
      <c r="C393" s="2"/>
    </row>
    <row r="394" ht="15.75" customHeight="1">
      <c r="A394" s="2"/>
      <c r="B394" s="2"/>
      <c r="C394" s="2"/>
    </row>
    <row r="395" ht="15.75" customHeight="1">
      <c r="A395" s="2"/>
      <c r="B395" s="2"/>
      <c r="C395" s="2"/>
    </row>
    <row r="396" ht="15.75" customHeight="1">
      <c r="A396" s="2"/>
      <c r="B396" s="2"/>
      <c r="C396" s="2"/>
    </row>
    <row r="397" ht="15.75" customHeight="1">
      <c r="A397" s="2"/>
      <c r="B397" s="2"/>
      <c r="C397" s="2"/>
    </row>
    <row r="398" ht="15.75" customHeight="1">
      <c r="A398" s="2"/>
      <c r="B398" s="2"/>
      <c r="C398" s="2"/>
    </row>
    <row r="399" ht="15.75" customHeight="1">
      <c r="A399" s="2"/>
      <c r="B399" s="2"/>
      <c r="C399" s="2"/>
    </row>
    <row r="400" ht="15.75" customHeight="1">
      <c r="A400" s="2"/>
      <c r="B400" s="2"/>
      <c r="C400" s="2"/>
    </row>
    <row r="401" ht="15.75" customHeight="1">
      <c r="A401" s="2"/>
      <c r="B401" s="2"/>
      <c r="C401" s="2"/>
    </row>
    <row r="402" ht="15.75" customHeight="1">
      <c r="A402" s="2"/>
      <c r="B402" s="2"/>
      <c r="C402" s="2"/>
    </row>
    <row r="403" ht="15.75" customHeight="1">
      <c r="A403" s="2"/>
      <c r="B403" s="2"/>
      <c r="C403" s="2"/>
    </row>
    <row r="404" ht="15.75" customHeight="1">
      <c r="A404" s="2"/>
      <c r="B404" s="2"/>
      <c r="C404" s="2"/>
    </row>
    <row r="405" ht="15.75" customHeight="1">
      <c r="A405" s="2"/>
      <c r="B405" s="2"/>
      <c r="C405" s="2"/>
    </row>
    <row r="406" ht="15.75" customHeight="1">
      <c r="A406" s="2"/>
      <c r="B406" s="2"/>
      <c r="C406" s="2"/>
    </row>
    <row r="407" ht="15.75" customHeight="1">
      <c r="A407" s="2"/>
      <c r="B407" s="2"/>
      <c r="C407" s="2"/>
    </row>
    <row r="408" ht="15.75" customHeight="1">
      <c r="A408" s="2"/>
      <c r="B408" s="2"/>
      <c r="C408" s="2"/>
    </row>
    <row r="409" ht="15.75" customHeight="1">
      <c r="A409" s="2"/>
      <c r="B409" s="2"/>
      <c r="C409" s="2"/>
    </row>
    <row r="410" ht="15.75" customHeight="1">
      <c r="A410" s="2"/>
      <c r="B410" s="2"/>
      <c r="C410" s="2"/>
    </row>
    <row r="411" ht="15.75" customHeight="1">
      <c r="A411" s="2"/>
      <c r="B411" s="2"/>
      <c r="C411" s="2"/>
    </row>
    <row r="412" ht="15.75" customHeight="1">
      <c r="A412" s="2"/>
      <c r="B412" s="2"/>
      <c r="C412" s="2"/>
    </row>
    <row r="413" ht="15.75" customHeight="1">
      <c r="A413" s="2"/>
      <c r="B413" s="2"/>
      <c r="C413" s="2"/>
    </row>
    <row r="414" ht="15.75" customHeight="1">
      <c r="A414" s="2"/>
      <c r="B414" s="2"/>
      <c r="C414" s="2"/>
    </row>
    <row r="415" ht="15.75" customHeight="1">
      <c r="A415" s="2"/>
      <c r="B415" s="2"/>
      <c r="C415" s="2"/>
    </row>
    <row r="416" ht="15.75" customHeight="1">
      <c r="A416" s="2"/>
      <c r="B416" s="2"/>
      <c r="C416" s="2"/>
    </row>
    <row r="417" ht="15.75" customHeight="1">
      <c r="A417" s="2"/>
      <c r="B417" s="2"/>
      <c r="C417" s="2"/>
    </row>
    <row r="418" ht="15.75" customHeight="1">
      <c r="A418" s="2"/>
      <c r="B418" s="2"/>
      <c r="C418" s="2"/>
    </row>
    <row r="419" ht="15.75" customHeight="1">
      <c r="A419" s="2"/>
      <c r="B419" s="2"/>
      <c r="C419" s="2"/>
    </row>
    <row r="420" ht="15.75" customHeight="1">
      <c r="A420" s="2"/>
      <c r="B420" s="2"/>
      <c r="C420" s="2"/>
    </row>
    <row r="421" ht="15.75" customHeight="1">
      <c r="A421" s="2"/>
      <c r="B421" s="2"/>
      <c r="C421" s="2"/>
    </row>
    <row r="422" ht="15.75" customHeight="1">
      <c r="A422" s="2"/>
      <c r="B422" s="2"/>
      <c r="C422" s="2"/>
    </row>
    <row r="423" ht="15.75" customHeight="1">
      <c r="A423" s="2"/>
      <c r="B423" s="2"/>
      <c r="C423" s="2"/>
    </row>
    <row r="424" ht="15.75" customHeight="1">
      <c r="A424" s="2"/>
      <c r="B424" s="2"/>
      <c r="C424" s="2"/>
    </row>
    <row r="425" ht="15.75" customHeight="1">
      <c r="A425" s="2"/>
      <c r="B425" s="2"/>
      <c r="C425" s="2"/>
    </row>
    <row r="426" ht="15.75" customHeight="1">
      <c r="A426" s="2"/>
      <c r="B426" s="2"/>
      <c r="C426" s="2"/>
    </row>
    <row r="427" ht="15.75" customHeight="1">
      <c r="A427" s="2"/>
      <c r="B427" s="2"/>
      <c r="C427" s="2"/>
    </row>
    <row r="428" ht="15.75" customHeight="1">
      <c r="A428" s="2"/>
      <c r="B428" s="2"/>
      <c r="C428" s="2"/>
    </row>
    <row r="429" ht="15.75" customHeight="1">
      <c r="A429" s="2"/>
      <c r="B429" s="2"/>
      <c r="C429" s="2"/>
    </row>
    <row r="430" ht="15.75" customHeight="1">
      <c r="A430" s="2"/>
      <c r="B430" s="2"/>
      <c r="C430" s="2"/>
    </row>
    <row r="431" ht="15.75" customHeight="1">
      <c r="A431" s="2"/>
      <c r="B431" s="2"/>
      <c r="C431" s="2"/>
    </row>
    <row r="432" ht="15.75" customHeight="1">
      <c r="A432" s="2"/>
      <c r="B432" s="2"/>
      <c r="C432" s="2"/>
    </row>
    <row r="433" ht="15.75" customHeight="1">
      <c r="A433" s="2"/>
      <c r="B433" s="2"/>
      <c r="C433" s="2"/>
    </row>
    <row r="434" ht="15.75" customHeight="1">
      <c r="A434" s="2"/>
      <c r="B434" s="2"/>
      <c r="C434" s="2"/>
    </row>
    <row r="435" ht="15.75" customHeight="1">
      <c r="A435" s="2"/>
      <c r="B435" s="2"/>
      <c r="C435" s="2"/>
    </row>
    <row r="436" ht="15.75" customHeight="1">
      <c r="A436" s="2"/>
      <c r="B436" s="2"/>
      <c r="C436" s="2"/>
    </row>
    <row r="437" ht="15.75" customHeight="1">
      <c r="A437" s="2"/>
      <c r="B437" s="2"/>
      <c r="C437" s="2"/>
    </row>
    <row r="438" ht="15.75" customHeight="1">
      <c r="A438" s="2"/>
      <c r="B438" s="2"/>
      <c r="C438" s="2"/>
    </row>
    <row r="439" ht="15.75" customHeight="1">
      <c r="A439" s="2"/>
      <c r="B439" s="2"/>
      <c r="C439" s="2"/>
    </row>
    <row r="440" ht="15.75" customHeight="1">
      <c r="A440" s="2"/>
      <c r="B440" s="2"/>
      <c r="C440" s="2"/>
    </row>
    <row r="441" ht="15.75" customHeight="1">
      <c r="A441" s="2"/>
      <c r="B441" s="2"/>
      <c r="C441" s="2"/>
    </row>
    <row r="442" ht="15.75" customHeight="1">
      <c r="A442" s="2"/>
      <c r="B442" s="2"/>
      <c r="C442" s="2"/>
    </row>
    <row r="443" ht="15.75" customHeight="1">
      <c r="A443" s="2"/>
      <c r="B443" s="2"/>
      <c r="C443" s="2"/>
    </row>
    <row r="444" ht="15.75" customHeight="1">
      <c r="A444" s="2"/>
      <c r="B444" s="2"/>
      <c r="C444" s="2"/>
    </row>
    <row r="445" ht="15.75" customHeight="1">
      <c r="A445" s="2"/>
      <c r="B445" s="2"/>
      <c r="C445" s="2"/>
    </row>
    <row r="446" ht="15.75" customHeight="1">
      <c r="A446" s="2"/>
      <c r="B446" s="2"/>
      <c r="C446" s="2"/>
    </row>
    <row r="447" ht="15.75" customHeight="1">
      <c r="A447" s="2"/>
      <c r="B447" s="2"/>
      <c r="C447" s="2"/>
    </row>
    <row r="448" ht="15.75" customHeight="1">
      <c r="A448" s="2"/>
      <c r="B448" s="2"/>
      <c r="C448" s="2"/>
    </row>
    <row r="449" ht="15.75" customHeight="1">
      <c r="A449" s="2"/>
      <c r="B449" s="2"/>
      <c r="C449" s="2"/>
    </row>
    <row r="450" ht="15.75" customHeight="1">
      <c r="A450" s="2"/>
      <c r="B450" s="2"/>
      <c r="C450" s="2"/>
    </row>
    <row r="451" ht="15.75" customHeight="1">
      <c r="A451" s="2"/>
      <c r="B451" s="2"/>
      <c r="C451" s="2"/>
    </row>
    <row r="452" ht="15.75" customHeight="1">
      <c r="A452" s="2"/>
      <c r="B452" s="2"/>
      <c r="C452" s="2"/>
    </row>
    <row r="453" ht="15.75" customHeight="1">
      <c r="A453" s="2"/>
      <c r="B453" s="2"/>
      <c r="C453" s="2"/>
    </row>
    <row r="454" ht="15.75" customHeight="1">
      <c r="A454" s="2"/>
      <c r="B454" s="2"/>
      <c r="C454" s="2"/>
    </row>
    <row r="455" ht="15.75" customHeight="1">
      <c r="A455" s="2"/>
      <c r="B455" s="2"/>
      <c r="C455" s="2"/>
    </row>
    <row r="456" ht="15.75" customHeight="1">
      <c r="A456" s="2"/>
      <c r="B456" s="2"/>
      <c r="C456" s="2"/>
    </row>
    <row r="457" ht="15.75" customHeight="1">
      <c r="A457" s="2"/>
      <c r="B457" s="2"/>
      <c r="C457" s="2"/>
    </row>
    <row r="458" ht="15.75" customHeight="1">
      <c r="A458" s="2"/>
      <c r="B458" s="2"/>
      <c r="C458" s="2"/>
    </row>
    <row r="459" ht="15.75" customHeight="1">
      <c r="A459" s="2"/>
      <c r="B459" s="2"/>
      <c r="C459" s="2"/>
    </row>
    <row r="460" ht="15.75" customHeight="1">
      <c r="A460" s="2"/>
      <c r="B460" s="2"/>
      <c r="C460" s="2"/>
    </row>
    <row r="461" ht="15.75" customHeight="1">
      <c r="A461" s="2"/>
      <c r="B461" s="2"/>
      <c r="C461" s="2"/>
    </row>
    <row r="462" ht="15.75" customHeight="1">
      <c r="A462" s="2"/>
      <c r="B462" s="2"/>
      <c r="C462" s="2"/>
    </row>
    <row r="463" ht="15.75" customHeight="1">
      <c r="A463" s="2"/>
      <c r="B463" s="2"/>
      <c r="C463" s="2"/>
    </row>
    <row r="464" ht="15.75" customHeight="1">
      <c r="A464" s="2"/>
      <c r="B464" s="2"/>
      <c r="C464" s="2"/>
    </row>
    <row r="465" ht="15.75" customHeight="1">
      <c r="A465" s="2"/>
      <c r="B465" s="2"/>
      <c r="C465" s="2"/>
    </row>
    <row r="466" ht="15.75" customHeight="1">
      <c r="A466" s="2"/>
      <c r="B466" s="2"/>
      <c r="C466" s="2"/>
    </row>
    <row r="467" ht="15.75" customHeight="1">
      <c r="A467" s="2"/>
      <c r="B467" s="2"/>
      <c r="C467" s="2"/>
    </row>
    <row r="468" ht="15.75" customHeight="1">
      <c r="A468" s="2"/>
      <c r="B468" s="2"/>
      <c r="C468" s="2"/>
    </row>
    <row r="469" ht="15.75" customHeight="1">
      <c r="A469" s="2"/>
      <c r="B469" s="2"/>
      <c r="C469" s="2"/>
    </row>
    <row r="470" ht="15.75" customHeight="1">
      <c r="A470" s="2"/>
      <c r="B470" s="2"/>
      <c r="C470" s="2"/>
    </row>
    <row r="471" ht="15.75" customHeight="1">
      <c r="A471" s="2"/>
      <c r="B471" s="2"/>
      <c r="C471" s="2"/>
    </row>
    <row r="472" ht="15.75" customHeight="1">
      <c r="A472" s="2"/>
      <c r="B472" s="2"/>
      <c r="C472" s="2"/>
    </row>
    <row r="473" ht="15.75" customHeight="1">
      <c r="A473" s="2"/>
      <c r="B473" s="2"/>
      <c r="C473" s="2"/>
    </row>
    <row r="474" ht="15.75" customHeight="1">
      <c r="A474" s="2"/>
      <c r="B474" s="2"/>
      <c r="C474" s="2"/>
    </row>
    <row r="475" ht="15.75" customHeight="1">
      <c r="A475" s="2"/>
      <c r="B475" s="2"/>
      <c r="C475" s="2"/>
    </row>
    <row r="476" ht="15.75" customHeight="1">
      <c r="A476" s="2"/>
      <c r="B476" s="2"/>
      <c r="C476" s="2"/>
    </row>
    <row r="477" ht="15.75" customHeight="1">
      <c r="A477" s="2"/>
      <c r="B477" s="2"/>
      <c r="C477" s="2"/>
    </row>
    <row r="478" ht="15.75" customHeight="1">
      <c r="A478" s="2"/>
      <c r="B478" s="2"/>
      <c r="C478" s="2"/>
    </row>
    <row r="479" ht="15.75" customHeight="1">
      <c r="A479" s="2"/>
      <c r="B479" s="2"/>
      <c r="C479" s="2"/>
    </row>
    <row r="480" ht="15.75" customHeight="1">
      <c r="A480" s="2"/>
      <c r="B480" s="2"/>
      <c r="C480" s="2"/>
    </row>
    <row r="481" ht="15.75" customHeight="1">
      <c r="A481" s="2"/>
      <c r="B481" s="2"/>
      <c r="C481" s="2"/>
    </row>
    <row r="482" ht="15.75" customHeight="1">
      <c r="A482" s="2"/>
      <c r="B482" s="2"/>
      <c r="C482" s="2"/>
    </row>
    <row r="483" ht="15.75" customHeight="1">
      <c r="A483" s="2"/>
      <c r="B483" s="2"/>
      <c r="C483" s="2"/>
    </row>
    <row r="484" ht="15.75" customHeight="1">
      <c r="A484" s="2"/>
      <c r="B484" s="2"/>
      <c r="C484" s="2"/>
    </row>
    <row r="485" ht="15.75" customHeight="1">
      <c r="A485" s="2"/>
      <c r="B485" s="2"/>
      <c r="C485" s="2"/>
    </row>
    <row r="486" ht="15.75" customHeight="1">
      <c r="A486" s="2"/>
      <c r="B486" s="2"/>
      <c r="C486" s="2"/>
    </row>
    <row r="487" ht="15.75" customHeight="1">
      <c r="A487" s="2"/>
      <c r="B487" s="2"/>
      <c r="C487" s="2"/>
    </row>
    <row r="488" ht="15.75" customHeight="1">
      <c r="A488" s="2"/>
      <c r="B488" s="2"/>
      <c r="C488" s="2"/>
    </row>
    <row r="489" ht="15.75" customHeight="1">
      <c r="A489" s="2"/>
      <c r="B489" s="2"/>
      <c r="C489" s="2"/>
    </row>
    <row r="490" ht="15.75" customHeight="1">
      <c r="A490" s="2"/>
      <c r="B490" s="2"/>
      <c r="C490" s="2"/>
    </row>
    <row r="491" ht="15.75" customHeight="1">
      <c r="A491" s="2"/>
      <c r="B491" s="2"/>
      <c r="C491" s="2"/>
    </row>
    <row r="492" ht="15.75" customHeight="1">
      <c r="A492" s="2"/>
      <c r="B492" s="2"/>
      <c r="C492" s="2"/>
    </row>
    <row r="493" ht="15.75" customHeight="1">
      <c r="A493" s="2"/>
      <c r="B493" s="2"/>
      <c r="C493" s="2"/>
    </row>
    <row r="494" ht="15.75" customHeight="1">
      <c r="A494" s="2"/>
      <c r="B494" s="2"/>
      <c r="C494" s="2"/>
    </row>
    <row r="495" ht="15.75" customHeight="1">
      <c r="A495" s="2"/>
      <c r="B495" s="2"/>
      <c r="C495" s="2"/>
    </row>
    <row r="496" ht="15.75" customHeight="1">
      <c r="A496" s="2"/>
      <c r="B496" s="2"/>
      <c r="C496" s="2"/>
    </row>
    <row r="497" ht="15.75" customHeight="1">
      <c r="A497" s="2"/>
      <c r="B497" s="2"/>
      <c r="C497" s="2"/>
    </row>
    <row r="498" ht="15.75" customHeight="1">
      <c r="A498" s="2"/>
      <c r="B498" s="2"/>
      <c r="C498" s="2"/>
    </row>
    <row r="499" ht="15.75" customHeight="1">
      <c r="A499" s="2"/>
      <c r="B499" s="2"/>
      <c r="C499" s="2"/>
    </row>
    <row r="500" ht="15.75" customHeight="1">
      <c r="A500" s="2"/>
      <c r="B500" s="2"/>
      <c r="C500" s="2"/>
    </row>
    <row r="501" ht="15.75" customHeight="1">
      <c r="A501" s="2"/>
      <c r="B501" s="2"/>
      <c r="C501" s="2"/>
    </row>
    <row r="502" ht="15.75" customHeight="1">
      <c r="A502" s="2"/>
      <c r="B502" s="2"/>
      <c r="C502" s="2"/>
    </row>
    <row r="503" ht="15.75" customHeight="1">
      <c r="A503" s="2"/>
      <c r="B503" s="2"/>
      <c r="C503" s="2"/>
    </row>
    <row r="504" ht="15.75" customHeight="1">
      <c r="A504" s="2"/>
      <c r="B504" s="2"/>
      <c r="C504" s="2"/>
    </row>
    <row r="505" ht="15.75" customHeight="1">
      <c r="A505" s="2"/>
      <c r="B505" s="2"/>
      <c r="C505" s="2"/>
    </row>
    <row r="506" ht="15.75" customHeight="1">
      <c r="A506" s="2"/>
      <c r="B506" s="2"/>
      <c r="C506" s="2"/>
    </row>
    <row r="507" ht="15.75" customHeight="1">
      <c r="A507" s="2"/>
      <c r="B507" s="2"/>
      <c r="C507" s="2"/>
    </row>
    <row r="508" ht="15.75" customHeight="1">
      <c r="A508" s="2"/>
      <c r="B508" s="2"/>
      <c r="C508" s="2"/>
    </row>
    <row r="509" ht="15.75" customHeight="1">
      <c r="A509" s="2"/>
      <c r="B509" s="2"/>
      <c r="C509" s="2"/>
    </row>
    <row r="510" ht="15.75" customHeight="1">
      <c r="A510" s="2"/>
      <c r="B510" s="2"/>
      <c r="C510" s="2"/>
    </row>
    <row r="511" ht="15.75" customHeight="1">
      <c r="A511" s="2"/>
      <c r="B511" s="2"/>
      <c r="C511" s="2"/>
    </row>
    <row r="512" ht="15.75" customHeight="1">
      <c r="A512" s="2"/>
      <c r="B512" s="2"/>
      <c r="C512" s="2"/>
    </row>
    <row r="513" ht="15.75" customHeight="1">
      <c r="A513" s="2"/>
      <c r="B513" s="2"/>
      <c r="C513" s="2"/>
    </row>
    <row r="514" ht="15.75" customHeight="1">
      <c r="A514" s="2"/>
      <c r="B514" s="2"/>
      <c r="C514" s="2"/>
    </row>
    <row r="515" ht="15.75" customHeight="1">
      <c r="A515" s="2"/>
      <c r="B515" s="2"/>
      <c r="C515" s="2"/>
    </row>
    <row r="516" ht="15.75" customHeight="1">
      <c r="A516" s="2"/>
      <c r="B516" s="2"/>
      <c r="C516" s="2"/>
    </row>
    <row r="517" ht="15.75" customHeight="1">
      <c r="A517" s="2"/>
      <c r="B517" s="2"/>
      <c r="C517" s="2"/>
    </row>
    <row r="518" ht="15.75" customHeight="1">
      <c r="A518" s="2"/>
      <c r="B518" s="2"/>
      <c r="C518" s="2"/>
    </row>
    <row r="519" ht="15.75" customHeight="1">
      <c r="A519" s="2"/>
      <c r="B519" s="2"/>
      <c r="C519" s="2"/>
    </row>
    <row r="520" ht="15.75" customHeight="1">
      <c r="A520" s="2"/>
      <c r="B520" s="2"/>
      <c r="C520" s="2"/>
    </row>
    <row r="521" ht="15.75" customHeight="1">
      <c r="A521" s="2"/>
      <c r="B521" s="2"/>
      <c r="C521" s="2"/>
    </row>
    <row r="522" ht="15.75" customHeight="1">
      <c r="A522" s="2"/>
      <c r="B522" s="2"/>
      <c r="C522" s="2"/>
    </row>
    <row r="523" ht="15.75" customHeight="1">
      <c r="A523" s="2"/>
      <c r="B523" s="2"/>
      <c r="C523" s="2"/>
    </row>
    <row r="524" ht="15.75" customHeight="1">
      <c r="A524" s="2"/>
      <c r="B524" s="2"/>
      <c r="C524" s="2"/>
    </row>
    <row r="525" ht="15.75" customHeight="1">
      <c r="A525" s="2"/>
      <c r="B525" s="2"/>
      <c r="C525" s="2"/>
    </row>
    <row r="526" ht="15.75" customHeight="1">
      <c r="A526" s="2"/>
      <c r="B526" s="2"/>
      <c r="C526" s="2"/>
    </row>
    <row r="527" ht="15.75" customHeight="1">
      <c r="A527" s="2"/>
      <c r="B527" s="2"/>
      <c r="C527" s="2"/>
    </row>
    <row r="528" ht="15.75" customHeight="1">
      <c r="A528" s="2"/>
      <c r="B528" s="2"/>
      <c r="C528" s="2"/>
    </row>
    <row r="529" ht="15.75" customHeight="1">
      <c r="A529" s="2"/>
      <c r="B529" s="2"/>
      <c r="C529" s="2"/>
    </row>
    <row r="530" ht="15.75" customHeight="1">
      <c r="A530" s="2"/>
      <c r="B530" s="2"/>
      <c r="C530" s="2"/>
    </row>
    <row r="531" ht="15.75" customHeight="1">
      <c r="A531" s="2"/>
      <c r="B531" s="2"/>
      <c r="C531" s="2"/>
    </row>
    <row r="532" ht="15.75" customHeight="1">
      <c r="A532" s="2"/>
      <c r="B532" s="2"/>
      <c r="C532" s="2"/>
    </row>
    <row r="533" ht="15.75" customHeight="1">
      <c r="A533" s="2"/>
      <c r="B533" s="2"/>
      <c r="C533" s="2"/>
    </row>
    <row r="534" ht="15.75" customHeight="1">
      <c r="A534" s="2"/>
      <c r="B534" s="2"/>
      <c r="C534" s="2"/>
    </row>
    <row r="535" ht="15.75" customHeight="1">
      <c r="A535" s="2"/>
      <c r="B535" s="2"/>
      <c r="C535" s="2"/>
    </row>
    <row r="536" ht="15.75" customHeight="1">
      <c r="A536" s="2"/>
      <c r="B536" s="2"/>
      <c r="C536" s="2"/>
    </row>
    <row r="537" ht="15.75" customHeight="1">
      <c r="A537" s="2"/>
      <c r="B537" s="2"/>
      <c r="C537" s="2"/>
    </row>
    <row r="538" ht="15.75" customHeight="1">
      <c r="A538" s="2"/>
      <c r="B538" s="2"/>
      <c r="C538" s="2"/>
    </row>
    <row r="539" ht="15.75" customHeight="1">
      <c r="A539" s="2"/>
      <c r="B539" s="2"/>
      <c r="C539" s="2"/>
    </row>
    <row r="540" ht="15.75" customHeight="1">
      <c r="A540" s="2"/>
      <c r="B540" s="2"/>
      <c r="C540" s="2"/>
    </row>
    <row r="541" ht="15.75" customHeight="1">
      <c r="A541" s="2"/>
      <c r="B541" s="2"/>
      <c r="C541" s="2"/>
    </row>
    <row r="542" ht="15.75" customHeight="1">
      <c r="A542" s="2"/>
      <c r="B542" s="2"/>
      <c r="C542" s="2"/>
    </row>
    <row r="543" ht="15.75" customHeight="1">
      <c r="A543" s="2"/>
      <c r="B543" s="2"/>
      <c r="C543" s="2"/>
    </row>
    <row r="544" ht="15.75" customHeight="1">
      <c r="A544" s="2"/>
      <c r="B544" s="2"/>
      <c r="C544" s="2"/>
    </row>
    <row r="545" ht="15.75" customHeight="1">
      <c r="A545" s="2"/>
      <c r="B545" s="2"/>
      <c r="C545" s="2"/>
    </row>
    <row r="546" ht="15.75" customHeight="1">
      <c r="A546" s="2"/>
      <c r="B546" s="2"/>
      <c r="C546" s="2"/>
    </row>
    <row r="547" ht="15.75" customHeight="1">
      <c r="A547" s="2"/>
      <c r="B547" s="2"/>
      <c r="C547" s="2"/>
    </row>
    <row r="548" ht="15.75" customHeight="1">
      <c r="A548" s="2"/>
      <c r="B548" s="2"/>
      <c r="C548" s="2"/>
    </row>
    <row r="549" ht="15.75" customHeight="1">
      <c r="A549" s="2"/>
      <c r="B549" s="2"/>
      <c r="C549" s="2"/>
    </row>
    <row r="550" ht="15.75" customHeight="1">
      <c r="A550" s="2"/>
      <c r="B550" s="2"/>
      <c r="C550" s="2"/>
    </row>
    <row r="551" ht="15.75" customHeight="1">
      <c r="A551" s="2"/>
      <c r="B551" s="2"/>
      <c r="C551" s="2"/>
    </row>
    <row r="552" ht="15.75" customHeight="1">
      <c r="A552" s="2"/>
      <c r="B552" s="2"/>
      <c r="C552" s="2"/>
    </row>
    <row r="553" ht="15.75" customHeight="1">
      <c r="A553" s="2"/>
      <c r="B553" s="2"/>
      <c r="C553" s="2"/>
    </row>
    <row r="554" ht="15.75" customHeight="1">
      <c r="A554" s="2"/>
      <c r="B554" s="2"/>
      <c r="C554" s="2"/>
    </row>
    <row r="555" ht="15.75" customHeight="1">
      <c r="A555" s="2"/>
      <c r="B555" s="2"/>
      <c r="C555" s="2"/>
    </row>
    <row r="556" ht="15.75" customHeight="1">
      <c r="A556" s="2"/>
      <c r="B556" s="2"/>
      <c r="C556" s="2"/>
    </row>
    <row r="557" ht="15.75" customHeight="1">
      <c r="A557" s="2"/>
      <c r="B557" s="2"/>
      <c r="C557" s="2"/>
    </row>
    <row r="558" ht="15.75" customHeight="1">
      <c r="A558" s="2"/>
      <c r="B558" s="2"/>
      <c r="C558" s="2"/>
    </row>
    <row r="559" ht="15.75" customHeight="1">
      <c r="A559" s="2"/>
      <c r="B559" s="2"/>
      <c r="C559" s="2"/>
    </row>
    <row r="560" ht="15.75" customHeight="1">
      <c r="A560" s="2"/>
      <c r="B560" s="2"/>
      <c r="C560" s="2"/>
    </row>
    <row r="561" ht="15.75" customHeight="1">
      <c r="A561" s="2"/>
      <c r="B561" s="2"/>
      <c r="C561" s="2"/>
    </row>
    <row r="562" ht="15.75" customHeight="1">
      <c r="A562" s="2"/>
      <c r="B562" s="2"/>
      <c r="C562" s="2"/>
    </row>
    <row r="563" ht="15.75" customHeight="1">
      <c r="A563" s="2"/>
      <c r="B563" s="2"/>
      <c r="C563" s="2"/>
    </row>
    <row r="564" ht="15.75" customHeight="1">
      <c r="A564" s="2"/>
      <c r="B564" s="2"/>
      <c r="C564" s="2"/>
    </row>
    <row r="565" ht="15.75" customHeight="1">
      <c r="A565" s="2"/>
      <c r="B565" s="2"/>
      <c r="C565" s="2"/>
    </row>
    <row r="566" ht="15.75" customHeight="1">
      <c r="A566" s="2"/>
      <c r="B566" s="2"/>
      <c r="C566" s="2"/>
    </row>
    <row r="567" ht="15.75" customHeight="1">
      <c r="A567" s="2"/>
      <c r="B567" s="2"/>
      <c r="C567" s="2"/>
    </row>
    <row r="568" ht="15.75" customHeight="1">
      <c r="A568" s="2"/>
      <c r="B568" s="2"/>
      <c r="C568" s="2"/>
    </row>
    <row r="569" ht="15.75" customHeight="1">
      <c r="A569" s="2"/>
      <c r="B569" s="2"/>
      <c r="C569" s="2"/>
    </row>
    <row r="570" ht="15.75" customHeight="1">
      <c r="A570" s="2"/>
      <c r="B570" s="2"/>
      <c r="C570" s="2"/>
    </row>
    <row r="571" ht="15.75" customHeight="1">
      <c r="A571" s="2"/>
      <c r="B571" s="2"/>
      <c r="C571" s="2"/>
    </row>
    <row r="572" ht="15.75" customHeight="1">
      <c r="A572" s="2"/>
      <c r="B572" s="2"/>
      <c r="C572" s="2"/>
    </row>
    <row r="573" ht="15.75" customHeight="1">
      <c r="A573" s="2"/>
      <c r="B573" s="2"/>
      <c r="C573" s="2"/>
    </row>
    <row r="574" ht="15.75" customHeight="1">
      <c r="A574" s="2"/>
      <c r="B574" s="2"/>
      <c r="C574" s="2"/>
    </row>
    <row r="575" ht="15.75" customHeight="1">
      <c r="A575" s="2"/>
      <c r="B575" s="2"/>
      <c r="C575" s="2"/>
    </row>
    <row r="576" ht="15.75" customHeight="1">
      <c r="A576" s="2"/>
      <c r="B576" s="2"/>
      <c r="C576" s="2"/>
    </row>
    <row r="577" ht="15.75" customHeight="1">
      <c r="A577" s="2"/>
      <c r="B577" s="2"/>
      <c r="C577" s="2"/>
    </row>
    <row r="578" ht="15.75" customHeight="1">
      <c r="A578" s="2"/>
      <c r="B578" s="2"/>
      <c r="C578" s="2"/>
    </row>
    <row r="579" ht="15.75" customHeight="1">
      <c r="A579" s="2"/>
      <c r="B579" s="2"/>
      <c r="C579" s="2"/>
    </row>
    <row r="580" ht="15.75" customHeight="1">
      <c r="A580" s="2"/>
      <c r="B580" s="2"/>
      <c r="C580" s="2"/>
    </row>
    <row r="581" ht="15.75" customHeight="1">
      <c r="A581" s="2"/>
      <c r="B581" s="2"/>
      <c r="C581" s="2"/>
    </row>
    <row r="582" ht="15.75" customHeight="1">
      <c r="A582" s="2"/>
      <c r="B582" s="2"/>
      <c r="C582" s="2"/>
    </row>
    <row r="583" ht="15.75" customHeight="1">
      <c r="A583" s="2"/>
      <c r="B583" s="2"/>
      <c r="C583" s="2"/>
    </row>
    <row r="584" ht="15.75" customHeight="1">
      <c r="A584" s="2"/>
      <c r="B584" s="2"/>
      <c r="C584" s="2"/>
    </row>
    <row r="585" ht="15.75" customHeight="1">
      <c r="A585" s="2"/>
      <c r="B585" s="2"/>
      <c r="C585" s="2"/>
    </row>
    <row r="586" ht="15.75" customHeight="1">
      <c r="A586" s="2"/>
      <c r="B586" s="2"/>
      <c r="C586" s="2"/>
    </row>
    <row r="587" ht="15.75" customHeight="1">
      <c r="A587" s="2"/>
      <c r="B587" s="2"/>
      <c r="C587" s="2"/>
    </row>
    <row r="588" ht="15.75" customHeight="1">
      <c r="A588" s="2"/>
      <c r="B588" s="2"/>
      <c r="C588" s="2"/>
    </row>
    <row r="589" ht="15.75" customHeight="1">
      <c r="A589" s="2"/>
      <c r="B589" s="2"/>
      <c r="C589" s="2"/>
    </row>
    <row r="590" ht="15.75" customHeight="1">
      <c r="A590" s="2"/>
      <c r="B590" s="2"/>
      <c r="C590" s="2"/>
    </row>
    <row r="591" ht="15.75" customHeight="1">
      <c r="A591" s="2"/>
      <c r="B591" s="2"/>
      <c r="C591" s="2"/>
    </row>
    <row r="592" ht="15.75" customHeight="1">
      <c r="A592" s="2"/>
      <c r="B592" s="2"/>
      <c r="C592" s="2"/>
    </row>
    <row r="593" ht="15.75" customHeight="1">
      <c r="A593" s="2"/>
      <c r="B593" s="2"/>
      <c r="C593" s="2"/>
    </row>
    <row r="594" ht="15.75" customHeight="1">
      <c r="A594" s="2"/>
      <c r="B594" s="2"/>
      <c r="C594" s="2"/>
    </row>
    <row r="595" ht="15.75" customHeight="1">
      <c r="A595" s="2"/>
      <c r="B595" s="2"/>
      <c r="C595" s="2"/>
    </row>
    <row r="596" ht="15.75" customHeight="1">
      <c r="A596" s="2"/>
      <c r="B596" s="2"/>
      <c r="C596" s="2"/>
    </row>
    <row r="597" ht="15.75" customHeight="1">
      <c r="A597" s="2"/>
      <c r="B597" s="2"/>
      <c r="C597" s="2"/>
    </row>
    <row r="598" ht="15.75" customHeight="1">
      <c r="A598" s="2"/>
      <c r="B598" s="2"/>
      <c r="C598" s="2"/>
    </row>
    <row r="599" ht="15.75" customHeight="1">
      <c r="A599" s="2"/>
      <c r="B599" s="2"/>
      <c r="C599" s="2"/>
    </row>
    <row r="600" ht="15.75" customHeight="1">
      <c r="A600" s="2"/>
      <c r="B600" s="2"/>
      <c r="C600" s="2"/>
    </row>
    <row r="601" ht="15.75" customHeight="1">
      <c r="A601" s="2"/>
      <c r="B601" s="2"/>
      <c r="C601" s="2"/>
    </row>
    <row r="602" ht="15.75" customHeight="1">
      <c r="A602" s="2"/>
      <c r="B602" s="2"/>
      <c r="C602" s="2"/>
    </row>
    <row r="603" ht="15.75" customHeight="1">
      <c r="A603" s="2"/>
      <c r="B603" s="2"/>
      <c r="C603" s="2"/>
    </row>
    <row r="604" ht="15.75" customHeight="1">
      <c r="A604" s="2"/>
      <c r="B604" s="2"/>
      <c r="C604" s="2"/>
    </row>
    <row r="605" ht="15.75" customHeight="1">
      <c r="A605" s="2"/>
      <c r="B605" s="2"/>
      <c r="C605" s="2"/>
    </row>
    <row r="606" ht="15.75" customHeight="1">
      <c r="A606" s="2"/>
      <c r="B606" s="2"/>
      <c r="C606" s="2"/>
    </row>
    <row r="607" ht="15.75" customHeight="1">
      <c r="A607" s="2"/>
      <c r="B607" s="2"/>
      <c r="C607" s="2"/>
    </row>
    <row r="608" ht="15.75" customHeight="1">
      <c r="A608" s="2"/>
      <c r="B608" s="2"/>
      <c r="C608" s="2"/>
    </row>
    <row r="609" ht="15.75" customHeight="1">
      <c r="A609" s="2"/>
      <c r="B609" s="2"/>
      <c r="C609" s="2"/>
    </row>
    <row r="610" ht="15.75" customHeight="1">
      <c r="A610" s="2"/>
      <c r="B610" s="2"/>
      <c r="C610" s="2"/>
    </row>
    <row r="611" ht="15.75" customHeight="1">
      <c r="A611" s="2"/>
      <c r="B611" s="2"/>
      <c r="C611" s="2"/>
    </row>
    <row r="612" ht="15.75" customHeight="1">
      <c r="A612" s="2"/>
      <c r="B612" s="2"/>
      <c r="C612" s="2"/>
    </row>
    <row r="613" ht="15.75" customHeight="1">
      <c r="A613" s="2"/>
      <c r="B613" s="2"/>
      <c r="C613" s="2"/>
    </row>
    <row r="614" ht="15.75" customHeight="1">
      <c r="A614" s="2"/>
      <c r="B614" s="2"/>
      <c r="C614" s="2"/>
    </row>
    <row r="615" ht="15.75" customHeight="1">
      <c r="A615" s="2"/>
      <c r="B615" s="2"/>
      <c r="C615" s="2"/>
    </row>
    <row r="616" ht="15.75" customHeight="1">
      <c r="A616" s="2"/>
      <c r="B616" s="2"/>
      <c r="C616" s="2"/>
    </row>
    <row r="617" ht="15.75" customHeight="1">
      <c r="A617" s="2"/>
      <c r="B617" s="2"/>
      <c r="C617" s="2"/>
    </row>
    <row r="618" ht="15.75" customHeight="1">
      <c r="A618" s="2"/>
      <c r="B618" s="2"/>
      <c r="C618" s="2"/>
    </row>
    <row r="619" ht="15.75" customHeight="1">
      <c r="A619" s="2"/>
      <c r="B619" s="2"/>
      <c r="C619" s="2"/>
    </row>
    <row r="620" ht="15.75" customHeight="1">
      <c r="A620" s="2"/>
      <c r="B620" s="2"/>
      <c r="C620" s="2"/>
    </row>
    <row r="621" ht="15.75" customHeight="1">
      <c r="A621" s="2"/>
      <c r="B621" s="2"/>
      <c r="C621" s="2"/>
    </row>
    <row r="622" ht="15.75" customHeight="1">
      <c r="A622" s="2"/>
      <c r="B622" s="2"/>
      <c r="C622" s="2"/>
    </row>
    <row r="623" ht="15.75" customHeight="1">
      <c r="A623" s="2"/>
      <c r="B623" s="2"/>
      <c r="C623" s="2"/>
    </row>
    <row r="624" ht="15.75" customHeight="1">
      <c r="A624" s="2"/>
      <c r="B624" s="2"/>
      <c r="C624" s="2"/>
    </row>
    <row r="625" ht="15.75" customHeight="1">
      <c r="A625" s="2"/>
      <c r="B625" s="2"/>
      <c r="C625" s="2"/>
    </row>
    <row r="626" ht="15.75" customHeight="1">
      <c r="A626" s="2"/>
      <c r="B626" s="2"/>
      <c r="C626" s="2"/>
    </row>
    <row r="627" ht="15.75" customHeight="1">
      <c r="A627" s="2"/>
      <c r="B627" s="2"/>
      <c r="C627" s="2"/>
    </row>
    <row r="628" ht="15.75" customHeight="1">
      <c r="A628" s="2"/>
      <c r="B628" s="2"/>
      <c r="C628" s="2"/>
    </row>
    <row r="629" ht="15.75" customHeight="1">
      <c r="A629" s="2"/>
      <c r="B629" s="2"/>
      <c r="C629" s="2"/>
    </row>
    <row r="630" ht="15.75" customHeight="1">
      <c r="A630" s="2"/>
      <c r="B630" s="2"/>
      <c r="C630" s="2"/>
    </row>
    <row r="631" ht="15.75" customHeight="1">
      <c r="A631" s="2"/>
      <c r="B631" s="2"/>
      <c r="C631" s="2"/>
    </row>
    <row r="632" ht="15.75" customHeight="1">
      <c r="A632" s="2"/>
      <c r="B632" s="2"/>
      <c r="C632" s="2"/>
    </row>
    <row r="633" ht="15.75" customHeight="1">
      <c r="A633" s="2"/>
      <c r="B633" s="2"/>
      <c r="C633" s="2"/>
    </row>
    <row r="634" ht="15.75" customHeight="1">
      <c r="A634" s="2"/>
      <c r="B634" s="2"/>
      <c r="C634" s="2"/>
    </row>
    <row r="635" ht="15.75" customHeight="1">
      <c r="A635" s="2"/>
      <c r="B635" s="2"/>
      <c r="C635" s="2"/>
    </row>
    <row r="636" ht="15.75" customHeight="1">
      <c r="A636" s="2"/>
      <c r="B636" s="2"/>
      <c r="C636" s="2"/>
    </row>
    <row r="637" ht="15.75" customHeight="1">
      <c r="A637" s="2"/>
      <c r="B637" s="2"/>
      <c r="C637" s="2"/>
    </row>
    <row r="638" ht="15.75" customHeight="1">
      <c r="A638" s="2"/>
      <c r="B638" s="2"/>
      <c r="C638" s="2"/>
    </row>
    <row r="639" ht="15.75" customHeight="1">
      <c r="A639" s="2"/>
      <c r="B639" s="2"/>
      <c r="C639" s="2"/>
    </row>
    <row r="640" ht="15.75" customHeight="1">
      <c r="A640" s="2"/>
      <c r="B640" s="2"/>
      <c r="C640" s="2"/>
    </row>
    <row r="641" ht="15.75" customHeight="1">
      <c r="A641" s="2"/>
      <c r="B641" s="2"/>
      <c r="C641" s="2"/>
    </row>
    <row r="642" ht="15.75" customHeight="1">
      <c r="A642" s="2"/>
      <c r="B642" s="2"/>
      <c r="C642" s="2"/>
    </row>
    <row r="643" ht="15.75" customHeight="1">
      <c r="A643" s="2"/>
      <c r="B643" s="2"/>
      <c r="C643" s="2"/>
    </row>
    <row r="644" ht="15.75" customHeight="1">
      <c r="A644" s="2"/>
      <c r="B644" s="2"/>
      <c r="C644" s="2"/>
    </row>
    <row r="645" ht="15.75" customHeight="1">
      <c r="A645" s="2"/>
      <c r="B645" s="2"/>
      <c r="C645" s="2"/>
    </row>
    <row r="646" ht="15.75" customHeight="1">
      <c r="A646" s="2"/>
      <c r="B646" s="2"/>
      <c r="C646" s="2"/>
    </row>
    <row r="647" ht="15.75" customHeight="1">
      <c r="A647" s="2"/>
      <c r="B647" s="2"/>
      <c r="C647" s="2"/>
    </row>
    <row r="648" ht="15.75" customHeight="1">
      <c r="A648" s="2"/>
      <c r="B648" s="2"/>
      <c r="C648" s="2"/>
    </row>
    <row r="649" ht="15.75" customHeight="1">
      <c r="A649" s="2"/>
      <c r="B649" s="2"/>
      <c r="C649" s="2"/>
    </row>
    <row r="650" ht="15.75" customHeight="1">
      <c r="A650" s="2"/>
      <c r="B650" s="2"/>
      <c r="C650" s="2"/>
    </row>
    <row r="651" ht="15.75" customHeight="1">
      <c r="A651" s="2"/>
      <c r="B651" s="2"/>
      <c r="C651" s="2"/>
    </row>
    <row r="652" ht="15.75" customHeight="1">
      <c r="A652" s="2"/>
      <c r="B652" s="2"/>
      <c r="C652" s="2"/>
    </row>
    <row r="653" ht="15.75" customHeight="1">
      <c r="A653" s="2"/>
      <c r="B653" s="2"/>
      <c r="C653" s="2"/>
    </row>
    <row r="654" ht="15.75" customHeight="1">
      <c r="A654" s="2"/>
      <c r="B654" s="2"/>
      <c r="C654" s="2"/>
    </row>
    <row r="655" ht="15.75" customHeight="1">
      <c r="A655" s="2"/>
      <c r="B655" s="2"/>
      <c r="C655" s="2"/>
    </row>
    <row r="656" ht="15.75" customHeight="1">
      <c r="A656" s="2"/>
      <c r="B656" s="2"/>
      <c r="C656" s="2"/>
    </row>
    <row r="657" ht="15.75" customHeight="1">
      <c r="A657" s="2"/>
      <c r="B657" s="2"/>
      <c r="C657" s="2"/>
    </row>
    <row r="658" ht="15.75" customHeight="1">
      <c r="A658" s="2"/>
      <c r="B658" s="2"/>
      <c r="C658" s="2"/>
    </row>
    <row r="659" ht="15.75" customHeight="1">
      <c r="A659" s="2"/>
      <c r="B659" s="2"/>
      <c r="C659" s="2"/>
    </row>
    <row r="660" ht="15.75" customHeight="1">
      <c r="A660" s="2"/>
      <c r="B660" s="2"/>
      <c r="C660" s="2"/>
    </row>
    <row r="661" ht="15.75" customHeight="1">
      <c r="A661" s="2"/>
      <c r="B661" s="2"/>
      <c r="C661" s="2"/>
    </row>
    <row r="662" ht="15.75" customHeight="1">
      <c r="A662" s="2"/>
      <c r="B662" s="2"/>
      <c r="C662" s="2"/>
    </row>
    <row r="663" ht="15.75" customHeight="1">
      <c r="A663" s="2"/>
      <c r="B663" s="2"/>
      <c r="C663" s="2"/>
    </row>
    <row r="664" ht="15.75" customHeight="1">
      <c r="A664" s="2"/>
      <c r="B664" s="2"/>
      <c r="C664" s="2"/>
    </row>
    <row r="665" ht="15.75" customHeight="1">
      <c r="A665" s="2"/>
      <c r="B665" s="2"/>
      <c r="C665" s="2"/>
    </row>
    <row r="666" ht="15.75" customHeight="1">
      <c r="A666" s="2"/>
      <c r="B666" s="2"/>
      <c r="C666" s="2"/>
    </row>
    <row r="667" ht="15.75" customHeight="1">
      <c r="A667" s="2"/>
      <c r="B667" s="2"/>
      <c r="C667" s="2"/>
    </row>
    <row r="668" ht="15.75" customHeight="1">
      <c r="A668" s="2"/>
      <c r="B668" s="2"/>
      <c r="C668" s="2"/>
    </row>
    <row r="669" ht="15.75" customHeight="1">
      <c r="A669" s="2"/>
      <c r="B669" s="2"/>
      <c r="C669" s="2"/>
    </row>
    <row r="670" ht="15.75" customHeight="1">
      <c r="A670" s="2"/>
      <c r="B670" s="2"/>
      <c r="C670" s="2"/>
    </row>
    <row r="671" ht="15.75" customHeight="1">
      <c r="A671" s="2"/>
      <c r="B671" s="2"/>
      <c r="C671" s="2"/>
    </row>
    <row r="672" ht="15.75" customHeight="1">
      <c r="A672" s="2"/>
      <c r="B672" s="2"/>
      <c r="C672" s="2"/>
    </row>
    <row r="673" ht="15.75" customHeight="1">
      <c r="A673" s="2"/>
      <c r="B673" s="2"/>
      <c r="C673" s="2"/>
    </row>
    <row r="674" ht="15.75" customHeight="1">
      <c r="A674" s="2"/>
      <c r="B674" s="2"/>
      <c r="C674" s="2"/>
    </row>
    <row r="675" ht="15.75" customHeight="1">
      <c r="A675" s="2"/>
      <c r="B675" s="2"/>
      <c r="C675" s="2"/>
    </row>
    <row r="676" ht="15.75" customHeight="1">
      <c r="A676" s="2"/>
      <c r="B676" s="2"/>
      <c r="C676" s="2"/>
    </row>
    <row r="677" ht="15.75" customHeight="1">
      <c r="A677" s="2"/>
      <c r="B677" s="2"/>
      <c r="C677" s="2"/>
    </row>
    <row r="678" ht="15.75" customHeight="1">
      <c r="A678" s="2"/>
      <c r="B678" s="2"/>
      <c r="C678" s="2"/>
    </row>
    <row r="679" ht="15.75" customHeight="1">
      <c r="A679" s="2"/>
      <c r="B679" s="2"/>
      <c r="C679" s="2"/>
    </row>
    <row r="680" ht="15.75" customHeight="1">
      <c r="A680" s="2"/>
      <c r="B680" s="2"/>
      <c r="C680" s="2"/>
    </row>
    <row r="681" ht="15.75" customHeight="1">
      <c r="A681" s="2"/>
      <c r="B681" s="2"/>
      <c r="C681" s="2"/>
    </row>
    <row r="682" ht="15.75" customHeight="1">
      <c r="A682" s="2"/>
      <c r="B682" s="2"/>
      <c r="C682" s="2"/>
    </row>
    <row r="683" ht="15.75" customHeight="1">
      <c r="A683" s="2"/>
      <c r="B683" s="2"/>
      <c r="C683" s="2"/>
    </row>
    <row r="684" ht="15.75" customHeight="1">
      <c r="A684" s="2"/>
      <c r="B684" s="2"/>
      <c r="C684" s="2"/>
    </row>
    <row r="685" ht="15.75" customHeight="1">
      <c r="A685" s="2"/>
      <c r="B685" s="2"/>
      <c r="C685" s="2"/>
    </row>
    <row r="686" ht="15.75" customHeight="1">
      <c r="A686" s="2"/>
      <c r="B686" s="2"/>
      <c r="C686" s="2"/>
    </row>
    <row r="687" ht="15.75" customHeight="1">
      <c r="A687" s="2"/>
      <c r="B687" s="2"/>
      <c r="C687" s="2"/>
    </row>
    <row r="688" ht="15.75" customHeight="1">
      <c r="A688" s="2"/>
      <c r="B688" s="2"/>
      <c r="C688" s="2"/>
    </row>
    <row r="689" ht="15.75" customHeight="1">
      <c r="A689" s="2"/>
      <c r="B689" s="2"/>
      <c r="C689" s="2"/>
    </row>
    <row r="690" ht="15.75" customHeight="1">
      <c r="A690" s="2"/>
      <c r="B690" s="2"/>
      <c r="C690" s="2"/>
    </row>
    <row r="691" ht="15.75" customHeight="1">
      <c r="A691" s="2"/>
      <c r="B691" s="2"/>
      <c r="C691" s="2"/>
    </row>
    <row r="692" ht="15.75" customHeight="1">
      <c r="A692" s="2"/>
      <c r="B692" s="2"/>
      <c r="C692" s="2"/>
    </row>
    <row r="693" ht="15.75" customHeight="1">
      <c r="A693" s="2"/>
      <c r="B693" s="2"/>
      <c r="C693" s="2"/>
    </row>
    <row r="694" ht="15.75" customHeight="1">
      <c r="A694" s="2"/>
      <c r="B694" s="2"/>
      <c r="C694" s="2"/>
    </row>
    <row r="695" ht="15.75" customHeight="1">
      <c r="A695" s="2"/>
      <c r="B695" s="2"/>
      <c r="C695" s="2"/>
    </row>
    <row r="696" ht="15.75" customHeight="1">
      <c r="A696" s="2"/>
      <c r="B696" s="2"/>
      <c r="C696" s="2"/>
    </row>
    <row r="697" ht="15.75" customHeight="1">
      <c r="A697" s="2"/>
      <c r="B697" s="2"/>
      <c r="C697" s="2"/>
    </row>
    <row r="698" ht="15.75" customHeight="1">
      <c r="A698" s="2"/>
      <c r="B698" s="2"/>
      <c r="C698" s="2"/>
    </row>
    <row r="699" ht="15.75" customHeight="1">
      <c r="A699" s="2"/>
      <c r="B699" s="2"/>
      <c r="C699" s="2"/>
    </row>
    <row r="700" ht="15.75" customHeight="1">
      <c r="A700" s="2"/>
      <c r="B700" s="2"/>
      <c r="C700" s="2"/>
    </row>
    <row r="701" ht="15.75" customHeight="1">
      <c r="A701" s="2"/>
      <c r="B701" s="2"/>
      <c r="C701" s="2"/>
    </row>
    <row r="702" ht="15.75" customHeight="1">
      <c r="A702" s="2"/>
      <c r="B702" s="2"/>
      <c r="C702" s="2"/>
    </row>
    <row r="703" ht="15.75" customHeight="1">
      <c r="A703" s="2"/>
      <c r="B703" s="2"/>
      <c r="C703" s="2"/>
    </row>
    <row r="704" ht="15.75" customHeight="1">
      <c r="A704" s="2"/>
      <c r="B704" s="2"/>
      <c r="C704" s="2"/>
    </row>
    <row r="705" ht="15.75" customHeight="1">
      <c r="A705" s="2"/>
      <c r="B705" s="2"/>
      <c r="C705" s="2"/>
    </row>
    <row r="706" ht="15.75" customHeight="1">
      <c r="A706" s="2"/>
      <c r="B706" s="2"/>
      <c r="C706" s="2"/>
    </row>
    <row r="707" ht="15.75" customHeight="1">
      <c r="A707" s="2"/>
      <c r="B707" s="2"/>
      <c r="C707" s="2"/>
    </row>
    <row r="708" ht="15.75" customHeight="1">
      <c r="A708" s="2"/>
      <c r="B708" s="2"/>
      <c r="C708" s="2"/>
    </row>
    <row r="709" ht="15.75" customHeight="1">
      <c r="A709" s="2"/>
      <c r="B709" s="2"/>
      <c r="C709" s="2"/>
    </row>
    <row r="710" ht="15.75" customHeight="1">
      <c r="A710" s="2"/>
      <c r="B710" s="2"/>
      <c r="C710" s="2"/>
    </row>
    <row r="711" ht="15.75" customHeight="1">
      <c r="A711" s="2"/>
      <c r="B711" s="2"/>
      <c r="C711" s="2"/>
    </row>
    <row r="712" ht="15.75" customHeight="1">
      <c r="A712" s="2"/>
      <c r="B712" s="2"/>
      <c r="C712" s="2"/>
    </row>
    <row r="713" ht="15.75" customHeight="1">
      <c r="A713" s="2"/>
      <c r="B713" s="2"/>
      <c r="C713" s="2"/>
    </row>
    <row r="714" ht="15.75" customHeight="1">
      <c r="A714" s="2"/>
      <c r="B714" s="2"/>
      <c r="C714" s="2"/>
    </row>
    <row r="715" ht="15.75" customHeight="1">
      <c r="A715" s="2"/>
      <c r="B715" s="2"/>
      <c r="C715" s="2"/>
    </row>
    <row r="716" ht="15.75" customHeight="1">
      <c r="A716" s="2"/>
      <c r="B716" s="2"/>
      <c r="C716" s="2"/>
    </row>
    <row r="717" ht="15.75" customHeight="1">
      <c r="A717" s="2"/>
      <c r="B717" s="2"/>
      <c r="C717" s="2"/>
    </row>
    <row r="718" ht="15.75" customHeight="1">
      <c r="A718" s="2"/>
      <c r="B718" s="2"/>
      <c r="C718" s="2"/>
    </row>
    <row r="719" ht="15.75" customHeight="1">
      <c r="A719" s="2"/>
      <c r="B719" s="2"/>
      <c r="C719" s="2"/>
    </row>
    <row r="720" ht="15.75" customHeight="1">
      <c r="A720" s="2"/>
      <c r="B720" s="2"/>
      <c r="C720" s="2"/>
    </row>
    <row r="721" ht="15.75" customHeight="1">
      <c r="A721" s="2"/>
      <c r="B721" s="2"/>
      <c r="C721" s="2"/>
    </row>
    <row r="722" ht="15.75" customHeight="1">
      <c r="A722" s="2"/>
      <c r="B722" s="2"/>
      <c r="C722" s="2"/>
    </row>
    <row r="723" ht="15.75" customHeight="1">
      <c r="A723" s="2"/>
      <c r="B723" s="2"/>
      <c r="C723" s="2"/>
    </row>
    <row r="724" ht="15.75" customHeight="1">
      <c r="A724" s="2"/>
      <c r="B724" s="2"/>
      <c r="C724" s="2"/>
    </row>
    <row r="725" ht="15.75" customHeight="1">
      <c r="A725" s="2"/>
      <c r="B725" s="2"/>
      <c r="C725" s="2"/>
    </row>
    <row r="726" ht="15.75" customHeight="1">
      <c r="A726" s="2"/>
      <c r="B726" s="2"/>
      <c r="C726" s="2"/>
    </row>
    <row r="727" ht="15.75" customHeight="1">
      <c r="A727" s="2"/>
      <c r="B727" s="2"/>
      <c r="C727" s="2"/>
    </row>
    <row r="728" ht="15.75" customHeight="1">
      <c r="A728" s="2"/>
      <c r="B728" s="2"/>
      <c r="C728" s="2"/>
    </row>
    <row r="729" ht="15.75" customHeight="1">
      <c r="A729" s="2"/>
      <c r="B729" s="2"/>
      <c r="C729" s="2"/>
    </row>
    <row r="730" ht="15.75" customHeight="1">
      <c r="A730" s="2"/>
      <c r="B730" s="2"/>
      <c r="C730" s="2"/>
    </row>
    <row r="731" ht="15.75" customHeight="1">
      <c r="A731" s="2"/>
      <c r="B731" s="2"/>
      <c r="C731" s="2"/>
    </row>
    <row r="732" ht="15.75" customHeight="1">
      <c r="A732" s="2"/>
      <c r="B732" s="2"/>
      <c r="C732" s="2"/>
    </row>
    <row r="733" ht="15.75" customHeight="1">
      <c r="A733" s="2"/>
      <c r="B733" s="2"/>
      <c r="C733" s="2"/>
    </row>
    <row r="734" ht="15.75" customHeight="1">
      <c r="A734" s="2"/>
      <c r="B734" s="2"/>
      <c r="C734" s="2"/>
    </row>
    <row r="735" ht="15.75" customHeight="1">
      <c r="A735" s="2"/>
      <c r="B735" s="2"/>
      <c r="C735" s="2"/>
    </row>
    <row r="736" ht="15.75" customHeight="1">
      <c r="A736" s="2"/>
      <c r="B736" s="2"/>
      <c r="C736" s="2"/>
    </row>
    <row r="737" ht="15.75" customHeight="1">
      <c r="A737" s="2"/>
      <c r="B737" s="2"/>
      <c r="C737" s="2"/>
    </row>
    <row r="738" ht="15.75" customHeight="1">
      <c r="A738" s="2"/>
      <c r="B738" s="2"/>
      <c r="C738" s="2"/>
    </row>
    <row r="739" ht="15.75" customHeight="1">
      <c r="A739" s="2"/>
      <c r="B739" s="2"/>
      <c r="C739" s="2"/>
    </row>
    <row r="740" ht="15.75" customHeight="1">
      <c r="A740" s="2"/>
      <c r="B740" s="2"/>
      <c r="C740" s="2"/>
    </row>
    <row r="741" ht="15.75" customHeight="1">
      <c r="A741" s="2"/>
      <c r="B741" s="2"/>
      <c r="C741" s="2"/>
    </row>
    <row r="742" ht="15.75" customHeight="1">
      <c r="A742" s="2"/>
      <c r="B742" s="2"/>
      <c r="C742" s="2"/>
    </row>
    <row r="743" ht="15.75" customHeight="1">
      <c r="A743" s="2"/>
      <c r="B743" s="2"/>
      <c r="C743" s="2"/>
    </row>
    <row r="744" ht="15.75" customHeight="1">
      <c r="A744" s="2"/>
      <c r="B744" s="2"/>
      <c r="C744" s="2"/>
    </row>
    <row r="745" ht="15.75" customHeight="1">
      <c r="A745" s="2"/>
      <c r="B745" s="2"/>
      <c r="C745" s="2"/>
    </row>
    <row r="746" ht="15.75" customHeight="1">
      <c r="A746" s="2"/>
      <c r="B746" s="2"/>
      <c r="C746" s="2"/>
    </row>
    <row r="747" ht="15.75" customHeight="1">
      <c r="A747" s="2"/>
      <c r="B747" s="2"/>
      <c r="C747" s="2"/>
    </row>
    <row r="748" ht="15.75" customHeight="1">
      <c r="A748" s="2"/>
      <c r="B748" s="2"/>
      <c r="C748" s="2"/>
    </row>
    <row r="749" ht="15.75" customHeight="1">
      <c r="A749" s="2"/>
      <c r="B749" s="2"/>
      <c r="C749" s="2"/>
    </row>
    <row r="750" ht="15.75" customHeight="1">
      <c r="A750" s="2"/>
      <c r="B750" s="2"/>
      <c r="C750" s="2"/>
    </row>
    <row r="751" ht="15.75" customHeight="1">
      <c r="A751" s="2"/>
      <c r="B751" s="2"/>
      <c r="C751" s="2"/>
    </row>
    <row r="752" ht="15.75" customHeight="1">
      <c r="A752" s="2"/>
      <c r="B752" s="2"/>
      <c r="C752" s="2"/>
    </row>
    <row r="753" ht="15.75" customHeight="1">
      <c r="A753" s="2"/>
      <c r="B753" s="2"/>
      <c r="C753" s="2"/>
    </row>
    <row r="754" ht="15.75" customHeight="1">
      <c r="A754" s="2"/>
      <c r="B754" s="2"/>
      <c r="C754" s="2"/>
    </row>
    <row r="755" ht="15.75" customHeight="1">
      <c r="A755" s="2"/>
      <c r="B755" s="2"/>
      <c r="C755" s="2"/>
    </row>
    <row r="756" ht="15.75" customHeight="1">
      <c r="A756" s="2"/>
      <c r="B756" s="2"/>
      <c r="C756" s="2"/>
    </row>
    <row r="757" ht="15.75" customHeight="1">
      <c r="A757" s="2"/>
      <c r="B757" s="2"/>
      <c r="C757" s="2"/>
    </row>
    <row r="758" ht="15.75" customHeight="1">
      <c r="A758" s="2"/>
      <c r="B758" s="2"/>
      <c r="C758" s="2"/>
    </row>
    <row r="759" ht="15.75" customHeight="1">
      <c r="A759" s="2"/>
      <c r="B759" s="2"/>
      <c r="C759" s="2"/>
    </row>
    <row r="760" ht="15.75" customHeight="1">
      <c r="A760" s="2"/>
      <c r="B760" s="2"/>
      <c r="C760" s="2"/>
    </row>
    <row r="761" ht="15.75" customHeight="1">
      <c r="A761" s="2"/>
      <c r="B761" s="2"/>
      <c r="C761" s="2"/>
    </row>
    <row r="762" ht="15.75" customHeight="1">
      <c r="A762" s="2"/>
      <c r="B762" s="2"/>
      <c r="C762" s="2"/>
    </row>
    <row r="763" ht="15.75" customHeight="1">
      <c r="A763" s="2"/>
      <c r="B763" s="2"/>
      <c r="C763" s="2"/>
    </row>
    <row r="764" ht="15.75" customHeight="1">
      <c r="A764" s="2"/>
      <c r="B764" s="2"/>
      <c r="C764" s="2"/>
    </row>
    <row r="765" ht="15.75" customHeight="1">
      <c r="A765" s="2"/>
      <c r="B765" s="2"/>
      <c r="C765" s="2"/>
    </row>
    <row r="766" ht="15.75" customHeight="1">
      <c r="A766" s="2"/>
      <c r="B766" s="2"/>
      <c r="C766" s="2"/>
    </row>
    <row r="767" ht="15.75" customHeight="1">
      <c r="A767" s="2"/>
      <c r="B767" s="2"/>
      <c r="C767" s="2"/>
    </row>
    <row r="768" ht="15.75" customHeight="1">
      <c r="A768" s="2"/>
      <c r="B768" s="2"/>
      <c r="C768" s="2"/>
    </row>
    <row r="769" ht="15.75" customHeight="1">
      <c r="A769" s="2"/>
      <c r="B769" s="2"/>
      <c r="C769" s="2"/>
    </row>
    <row r="770" ht="15.75" customHeight="1">
      <c r="A770" s="2"/>
      <c r="B770" s="2"/>
      <c r="C770" s="2"/>
    </row>
    <row r="771" ht="15.75" customHeight="1">
      <c r="A771" s="2"/>
      <c r="B771" s="2"/>
      <c r="C771" s="2"/>
    </row>
    <row r="772" ht="15.75" customHeight="1">
      <c r="A772" s="2"/>
      <c r="B772" s="2"/>
      <c r="C772" s="2"/>
    </row>
    <row r="773" ht="15.75" customHeight="1">
      <c r="A773" s="2"/>
      <c r="B773" s="2"/>
      <c r="C773" s="2"/>
    </row>
    <row r="774" ht="15.75" customHeight="1">
      <c r="A774" s="2"/>
      <c r="B774" s="2"/>
      <c r="C774" s="2"/>
    </row>
    <row r="775" ht="15.75" customHeight="1">
      <c r="A775" s="2"/>
      <c r="B775" s="2"/>
      <c r="C775" s="2"/>
    </row>
    <row r="776" ht="15.75" customHeight="1">
      <c r="A776" s="2"/>
      <c r="B776" s="2"/>
      <c r="C776" s="2"/>
    </row>
    <row r="777" ht="15.75" customHeight="1">
      <c r="A777" s="2"/>
      <c r="B777" s="2"/>
      <c r="C777" s="2"/>
    </row>
    <row r="778" ht="15.75" customHeight="1">
      <c r="A778" s="2"/>
      <c r="B778" s="2"/>
      <c r="C778" s="2"/>
    </row>
    <row r="779" ht="15.75" customHeight="1">
      <c r="A779" s="2"/>
      <c r="B779" s="2"/>
      <c r="C779" s="2"/>
    </row>
    <row r="780" ht="15.75" customHeight="1">
      <c r="A780" s="2"/>
      <c r="B780" s="2"/>
      <c r="C780" s="2"/>
    </row>
    <row r="781" ht="15.75" customHeight="1">
      <c r="A781" s="2"/>
      <c r="B781" s="2"/>
      <c r="C781" s="2"/>
    </row>
    <row r="782" ht="15.75" customHeight="1">
      <c r="A782" s="2"/>
      <c r="B782" s="2"/>
      <c r="C782" s="2"/>
    </row>
    <row r="783" ht="15.75" customHeight="1">
      <c r="A783" s="2"/>
      <c r="B783" s="2"/>
      <c r="C783" s="2"/>
    </row>
    <row r="784" ht="15.75" customHeight="1">
      <c r="A784" s="2"/>
      <c r="B784" s="2"/>
      <c r="C784" s="2"/>
    </row>
    <row r="785" ht="15.75" customHeight="1">
      <c r="A785" s="2"/>
      <c r="B785" s="2"/>
      <c r="C785" s="2"/>
    </row>
    <row r="786" ht="15.75" customHeight="1">
      <c r="A786" s="2"/>
      <c r="B786" s="2"/>
      <c r="C786" s="2"/>
    </row>
    <row r="787" ht="15.75" customHeight="1">
      <c r="A787" s="2"/>
      <c r="B787" s="2"/>
      <c r="C787" s="2"/>
    </row>
    <row r="788" ht="15.75" customHeight="1">
      <c r="A788" s="2"/>
      <c r="B788" s="2"/>
      <c r="C788" s="2"/>
    </row>
    <row r="789" ht="15.75" customHeight="1">
      <c r="A789" s="2"/>
      <c r="B789" s="2"/>
      <c r="C789" s="2"/>
    </row>
    <row r="790" ht="15.75" customHeight="1">
      <c r="A790" s="2"/>
      <c r="B790" s="2"/>
      <c r="C790" s="2"/>
    </row>
    <row r="791" ht="15.75" customHeight="1">
      <c r="A791" s="2"/>
      <c r="B791" s="2"/>
      <c r="C791" s="2"/>
    </row>
    <row r="792" ht="15.75" customHeight="1">
      <c r="A792" s="2"/>
      <c r="B792" s="2"/>
      <c r="C792" s="2"/>
    </row>
    <row r="793" ht="15.75" customHeight="1">
      <c r="A793" s="2"/>
      <c r="B793" s="2"/>
      <c r="C793" s="2"/>
    </row>
    <row r="794" ht="15.75" customHeight="1">
      <c r="A794" s="2"/>
      <c r="B794" s="2"/>
      <c r="C794" s="2"/>
    </row>
    <row r="795" ht="15.75" customHeight="1">
      <c r="A795" s="2"/>
      <c r="B795" s="2"/>
      <c r="C795" s="2"/>
    </row>
    <row r="796" ht="15.75" customHeight="1">
      <c r="A796" s="2"/>
      <c r="B796" s="2"/>
      <c r="C796" s="2"/>
    </row>
    <row r="797" ht="15.75" customHeight="1">
      <c r="A797" s="2"/>
      <c r="B797" s="2"/>
      <c r="C797" s="2"/>
    </row>
    <row r="798" ht="15.75" customHeight="1">
      <c r="A798" s="2"/>
      <c r="B798" s="2"/>
      <c r="C798" s="2"/>
    </row>
    <row r="799" ht="15.75" customHeight="1">
      <c r="A799" s="2"/>
      <c r="B799" s="2"/>
      <c r="C799" s="2"/>
    </row>
    <row r="800" ht="15.75" customHeight="1">
      <c r="A800" s="2"/>
      <c r="B800" s="2"/>
      <c r="C800" s="2"/>
    </row>
    <row r="801" ht="15.75" customHeight="1">
      <c r="A801" s="2"/>
      <c r="B801" s="2"/>
      <c r="C801" s="2"/>
    </row>
    <row r="802" ht="15.75" customHeight="1">
      <c r="A802" s="2"/>
      <c r="B802" s="2"/>
      <c r="C802" s="2"/>
    </row>
    <row r="803" ht="15.75" customHeight="1">
      <c r="A803" s="2"/>
      <c r="B803" s="2"/>
      <c r="C803" s="2"/>
    </row>
    <row r="804" ht="15.75" customHeight="1">
      <c r="A804" s="2"/>
      <c r="B804" s="2"/>
      <c r="C804" s="2"/>
    </row>
    <row r="805" ht="15.75" customHeight="1">
      <c r="A805" s="2"/>
      <c r="B805" s="2"/>
      <c r="C805" s="2"/>
    </row>
    <row r="806" ht="15.75" customHeight="1">
      <c r="A806" s="2"/>
      <c r="B806" s="2"/>
      <c r="C806" s="2"/>
    </row>
    <row r="807" ht="15.75" customHeight="1">
      <c r="A807" s="2"/>
      <c r="B807" s="2"/>
      <c r="C807" s="2"/>
    </row>
    <row r="808" ht="15.75" customHeight="1">
      <c r="A808" s="2"/>
      <c r="B808" s="2"/>
      <c r="C808" s="2"/>
    </row>
    <row r="809" ht="15.75" customHeight="1">
      <c r="A809" s="2"/>
      <c r="B809" s="2"/>
      <c r="C809" s="2"/>
    </row>
    <row r="810" ht="15.75" customHeight="1">
      <c r="A810" s="2"/>
      <c r="B810" s="2"/>
      <c r="C810" s="2"/>
    </row>
    <row r="811" ht="15.75" customHeight="1">
      <c r="A811" s="2"/>
      <c r="B811" s="2"/>
      <c r="C811" s="2"/>
    </row>
    <row r="812" ht="15.75" customHeight="1">
      <c r="A812" s="2"/>
      <c r="B812" s="2"/>
      <c r="C812" s="2"/>
    </row>
    <row r="813" ht="15.75" customHeight="1">
      <c r="A813" s="2"/>
      <c r="B813" s="2"/>
      <c r="C813" s="2"/>
    </row>
    <row r="814" ht="15.75" customHeight="1">
      <c r="A814" s="2"/>
      <c r="B814" s="2"/>
      <c r="C814" s="2"/>
    </row>
    <row r="815" ht="15.75" customHeight="1">
      <c r="A815" s="2"/>
      <c r="B815" s="2"/>
      <c r="C815" s="2"/>
    </row>
    <row r="816" ht="15.75" customHeight="1">
      <c r="A816" s="2"/>
      <c r="B816" s="2"/>
      <c r="C816" s="2"/>
    </row>
    <row r="817" ht="15.75" customHeight="1">
      <c r="A817" s="2"/>
      <c r="B817" s="2"/>
      <c r="C817" s="2"/>
    </row>
    <row r="818" ht="15.75" customHeight="1">
      <c r="A818" s="2"/>
      <c r="B818" s="2"/>
      <c r="C818" s="2"/>
    </row>
    <row r="819" ht="15.75" customHeight="1">
      <c r="A819" s="2"/>
      <c r="B819" s="2"/>
      <c r="C819" s="2"/>
    </row>
    <row r="820" ht="15.75" customHeight="1">
      <c r="A820" s="2"/>
      <c r="B820" s="2"/>
      <c r="C820" s="2"/>
    </row>
    <row r="821" ht="15.75" customHeight="1">
      <c r="A821" s="2"/>
      <c r="B821" s="2"/>
      <c r="C821" s="2"/>
    </row>
    <row r="822" ht="15.75" customHeight="1">
      <c r="A822" s="2"/>
      <c r="B822" s="2"/>
      <c r="C822" s="2"/>
    </row>
    <row r="823" ht="15.75" customHeight="1">
      <c r="A823" s="2"/>
      <c r="B823" s="2"/>
      <c r="C823" s="2"/>
    </row>
    <row r="824" ht="15.75" customHeight="1">
      <c r="A824" s="2"/>
      <c r="B824" s="2"/>
      <c r="C824" s="2"/>
    </row>
    <row r="825" ht="15.75" customHeight="1">
      <c r="A825" s="2"/>
      <c r="B825" s="2"/>
      <c r="C825" s="2"/>
    </row>
    <row r="826" ht="15.75" customHeight="1">
      <c r="A826" s="2"/>
      <c r="B826" s="2"/>
      <c r="C826" s="2"/>
    </row>
    <row r="827" ht="15.75" customHeight="1">
      <c r="A827" s="2"/>
      <c r="B827" s="2"/>
      <c r="C827" s="2"/>
    </row>
    <row r="828" ht="15.75" customHeight="1">
      <c r="A828" s="2"/>
      <c r="B828" s="2"/>
      <c r="C828" s="2"/>
    </row>
    <row r="829" ht="15.75" customHeight="1">
      <c r="A829" s="2"/>
      <c r="B829" s="2"/>
      <c r="C829" s="2"/>
    </row>
    <row r="830" ht="15.75" customHeight="1">
      <c r="A830" s="2"/>
      <c r="B830" s="2"/>
      <c r="C830" s="2"/>
    </row>
    <row r="831" ht="15.75" customHeight="1">
      <c r="A831" s="2"/>
      <c r="B831" s="2"/>
      <c r="C831" s="2"/>
    </row>
    <row r="832" ht="15.75" customHeight="1">
      <c r="A832" s="2"/>
      <c r="B832" s="2"/>
      <c r="C832" s="2"/>
    </row>
    <row r="833" ht="15.75" customHeight="1">
      <c r="A833" s="2"/>
      <c r="B833" s="2"/>
      <c r="C833" s="2"/>
    </row>
    <row r="834" ht="15.75" customHeight="1">
      <c r="A834" s="2"/>
      <c r="B834" s="2"/>
      <c r="C834" s="2"/>
    </row>
    <row r="835" ht="15.75" customHeight="1">
      <c r="A835" s="2"/>
      <c r="B835" s="2"/>
      <c r="C835" s="2"/>
    </row>
    <row r="836" ht="15.75" customHeight="1">
      <c r="A836" s="2"/>
      <c r="B836" s="2"/>
      <c r="C836" s="2"/>
    </row>
    <row r="837" ht="15.75" customHeight="1">
      <c r="A837" s="2"/>
      <c r="B837" s="2"/>
      <c r="C837" s="2"/>
    </row>
    <row r="838" ht="15.75" customHeight="1">
      <c r="A838" s="2"/>
      <c r="B838" s="2"/>
      <c r="C838" s="2"/>
    </row>
    <row r="839" ht="15.75" customHeight="1">
      <c r="A839" s="2"/>
      <c r="B839" s="2"/>
      <c r="C839" s="2"/>
    </row>
    <row r="840" ht="15.75" customHeight="1">
      <c r="A840" s="2"/>
      <c r="B840" s="2"/>
      <c r="C840" s="2"/>
    </row>
    <row r="841" ht="15.75" customHeight="1">
      <c r="A841" s="2"/>
      <c r="B841" s="2"/>
      <c r="C841" s="2"/>
    </row>
    <row r="842" ht="15.75" customHeight="1">
      <c r="A842" s="2"/>
      <c r="B842" s="2"/>
      <c r="C842" s="2"/>
    </row>
    <row r="843" ht="15.75" customHeight="1">
      <c r="A843" s="2"/>
      <c r="B843" s="2"/>
      <c r="C843" s="2"/>
    </row>
    <row r="844" ht="15.75" customHeight="1">
      <c r="A844" s="2"/>
      <c r="B844" s="2"/>
      <c r="C844" s="2"/>
    </row>
    <row r="845" ht="15.75" customHeight="1">
      <c r="A845" s="2"/>
      <c r="B845" s="2"/>
      <c r="C845" s="2"/>
    </row>
    <row r="846" ht="15.75" customHeight="1">
      <c r="A846" s="2"/>
      <c r="B846" s="2"/>
      <c r="C846" s="2"/>
    </row>
    <row r="847" ht="15.75" customHeight="1">
      <c r="A847" s="2"/>
      <c r="B847" s="2"/>
      <c r="C847" s="2"/>
    </row>
    <row r="848" ht="15.75" customHeight="1">
      <c r="A848" s="2"/>
      <c r="B848" s="2"/>
      <c r="C848" s="2"/>
    </row>
    <row r="849" ht="15.75" customHeight="1">
      <c r="A849" s="2"/>
      <c r="B849" s="2"/>
      <c r="C849" s="2"/>
    </row>
    <row r="850" ht="15.75" customHeight="1">
      <c r="A850" s="2"/>
      <c r="B850" s="2"/>
      <c r="C850" s="2"/>
    </row>
    <row r="851" ht="15.75" customHeight="1">
      <c r="A851" s="2"/>
      <c r="B851" s="2"/>
      <c r="C851" s="2"/>
    </row>
    <row r="852" ht="15.75" customHeight="1">
      <c r="A852" s="2"/>
      <c r="B852" s="2"/>
      <c r="C852" s="2"/>
    </row>
    <row r="853" ht="15.75" customHeight="1">
      <c r="A853" s="2"/>
      <c r="B853" s="2"/>
      <c r="C853" s="2"/>
    </row>
    <row r="854" ht="15.75" customHeight="1">
      <c r="A854" s="2"/>
      <c r="B854" s="2"/>
      <c r="C854" s="2"/>
    </row>
    <row r="855" ht="15.75" customHeight="1">
      <c r="A855" s="2"/>
      <c r="B855" s="2"/>
      <c r="C855" s="2"/>
    </row>
    <row r="856" ht="15.75" customHeight="1">
      <c r="A856" s="2"/>
      <c r="B856" s="2"/>
      <c r="C856" s="2"/>
    </row>
    <row r="857" ht="15.75" customHeight="1">
      <c r="A857" s="2"/>
      <c r="B857" s="2"/>
      <c r="C857" s="2"/>
    </row>
    <row r="858" ht="15.75" customHeight="1">
      <c r="A858" s="2"/>
      <c r="B858" s="2"/>
      <c r="C858" s="2"/>
    </row>
    <row r="859" ht="15.75" customHeight="1">
      <c r="A859" s="2"/>
      <c r="B859" s="2"/>
      <c r="C859" s="2"/>
    </row>
    <row r="860" ht="15.75" customHeight="1">
      <c r="A860" s="2"/>
      <c r="B860" s="2"/>
      <c r="C860" s="2"/>
    </row>
    <row r="861" ht="15.75" customHeight="1">
      <c r="A861" s="2"/>
      <c r="B861" s="2"/>
      <c r="C861" s="2"/>
    </row>
    <row r="862" ht="15.75" customHeight="1">
      <c r="A862" s="2"/>
      <c r="B862" s="2"/>
      <c r="C862" s="2"/>
    </row>
    <row r="863" ht="15.75" customHeight="1">
      <c r="A863" s="2"/>
      <c r="B863" s="2"/>
      <c r="C863" s="2"/>
    </row>
    <row r="864" ht="15.75" customHeight="1">
      <c r="A864" s="2"/>
      <c r="B864" s="2"/>
      <c r="C864" s="2"/>
    </row>
    <row r="865" ht="15.75" customHeight="1">
      <c r="A865" s="2"/>
      <c r="B865" s="2"/>
      <c r="C865" s="2"/>
    </row>
    <row r="866" ht="15.75" customHeight="1">
      <c r="A866" s="2"/>
      <c r="B866" s="2"/>
      <c r="C866" s="2"/>
    </row>
    <row r="867" ht="15.75" customHeight="1">
      <c r="A867" s="2"/>
      <c r="B867" s="2"/>
      <c r="C867" s="2"/>
    </row>
    <row r="868" ht="15.75" customHeight="1">
      <c r="A868" s="2"/>
      <c r="B868" s="2"/>
      <c r="C868" s="2"/>
    </row>
    <row r="869" ht="15.75" customHeight="1">
      <c r="A869" s="2"/>
      <c r="B869" s="2"/>
      <c r="C869" s="2"/>
    </row>
    <row r="870" ht="15.75" customHeight="1">
      <c r="A870" s="2"/>
      <c r="B870" s="2"/>
      <c r="C870" s="2"/>
    </row>
    <row r="871" ht="15.75" customHeight="1">
      <c r="A871" s="2"/>
      <c r="B871" s="2"/>
      <c r="C871" s="2"/>
    </row>
    <row r="872" ht="15.75" customHeight="1">
      <c r="A872" s="2"/>
      <c r="B872" s="2"/>
      <c r="C872" s="2"/>
    </row>
    <row r="873" ht="15.75" customHeight="1">
      <c r="A873" s="2"/>
      <c r="B873" s="2"/>
      <c r="C873" s="2"/>
    </row>
    <row r="874" ht="15.75" customHeight="1">
      <c r="A874" s="2"/>
      <c r="B874" s="2"/>
      <c r="C874" s="2"/>
    </row>
    <row r="875" ht="15.75" customHeight="1">
      <c r="A875" s="2"/>
      <c r="B875" s="2"/>
      <c r="C875" s="2"/>
    </row>
    <row r="876" ht="15.75" customHeight="1">
      <c r="A876" s="2"/>
      <c r="B876" s="2"/>
      <c r="C876" s="2"/>
    </row>
    <row r="877" ht="15.75" customHeight="1">
      <c r="A877" s="2"/>
      <c r="B877" s="2"/>
      <c r="C877" s="2"/>
    </row>
    <row r="878" ht="15.75" customHeight="1">
      <c r="A878" s="2"/>
      <c r="B878" s="2"/>
      <c r="C878" s="2"/>
    </row>
    <row r="879" ht="15.75" customHeight="1">
      <c r="A879" s="2"/>
      <c r="B879" s="2"/>
      <c r="C879" s="2"/>
    </row>
    <row r="880" ht="15.75" customHeight="1">
      <c r="A880" s="2"/>
      <c r="B880" s="2"/>
      <c r="C880" s="2"/>
    </row>
    <row r="881" ht="15.75" customHeight="1">
      <c r="A881" s="2"/>
      <c r="B881" s="2"/>
      <c r="C881" s="2"/>
    </row>
    <row r="882" ht="15.75" customHeight="1">
      <c r="A882" s="2"/>
      <c r="B882" s="2"/>
      <c r="C882" s="2"/>
    </row>
    <row r="883" ht="15.75" customHeight="1">
      <c r="A883" s="2"/>
      <c r="B883" s="2"/>
      <c r="C883" s="2"/>
    </row>
    <row r="884" ht="15.75" customHeight="1">
      <c r="A884" s="2"/>
      <c r="B884" s="2"/>
      <c r="C884" s="2"/>
    </row>
    <row r="885" ht="15.75" customHeight="1">
      <c r="A885" s="2"/>
      <c r="B885" s="2"/>
      <c r="C885" s="2"/>
    </row>
    <row r="886" ht="15.75" customHeight="1">
      <c r="A886" s="2"/>
      <c r="B886" s="2"/>
      <c r="C886" s="2"/>
    </row>
    <row r="887" ht="15.75" customHeight="1">
      <c r="A887" s="2"/>
      <c r="B887" s="2"/>
      <c r="C887" s="2"/>
    </row>
    <row r="888" ht="15.75" customHeight="1">
      <c r="A888" s="2"/>
      <c r="B888" s="2"/>
      <c r="C888" s="2"/>
    </row>
    <row r="889" ht="15.75" customHeight="1">
      <c r="A889" s="2"/>
      <c r="B889" s="2"/>
      <c r="C889" s="2"/>
    </row>
    <row r="890" ht="15.75" customHeight="1">
      <c r="A890" s="2"/>
      <c r="B890" s="2"/>
      <c r="C890" s="2"/>
    </row>
    <row r="891" ht="15.75" customHeight="1">
      <c r="A891" s="2"/>
      <c r="B891" s="2"/>
      <c r="C891" s="2"/>
    </row>
    <row r="892" ht="15.75" customHeight="1">
      <c r="A892" s="2"/>
      <c r="B892" s="2"/>
      <c r="C892" s="2"/>
    </row>
    <row r="893" ht="15.75" customHeight="1">
      <c r="A893" s="2"/>
      <c r="B893" s="2"/>
      <c r="C893" s="2"/>
    </row>
    <row r="894" ht="15.75" customHeight="1">
      <c r="A894" s="2"/>
      <c r="B894" s="2"/>
      <c r="C894" s="2"/>
    </row>
    <row r="895" ht="15.75" customHeight="1">
      <c r="A895" s="2"/>
      <c r="B895" s="2"/>
      <c r="C895" s="2"/>
    </row>
    <row r="896" ht="15.75" customHeight="1">
      <c r="A896" s="2"/>
      <c r="B896" s="2"/>
      <c r="C896" s="2"/>
    </row>
    <row r="897" ht="15.75" customHeight="1">
      <c r="A897" s="2"/>
      <c r="B897" s="2"/>
      <c r="C897" s="2"/>
    </row>
    <row r="898" ht="15.75" customHeight="1">
      <c r="A898" s="2"/>
      <c r="B898" s="2"/>
      <c r="C898" s="2"/>
    </row>
    <row r="899" ht="15.75" customHeight="1">
      <c r="A899" s="2"/>
      <c r="B899" s="2"/>
      <c r="C899" s="2"/>
    </row>
    <row r="900" ht="15.75" customHeight="1">
      <c r="A900" s="2"/>
      <c r="B900" s="2"/>
      <c r="C900" s="2"/>
    </row>
    <row r="901" ht="15.75" customHeight="1">
      <c r="A901" s="2"/>
      <c r="B901" s="2"/>
      <c r="C901" s="2"/>
    </row>
    <row r="902" ht="15.75" customHeight="1">
      <c r="A902" s="2"/>
      <c r="B902" s="2"/>
      <c r="C902" s="2"/>
    </row>
    <row r="903" ht="15.75" customHeight="1">
      <c r="A903" s="2"/>
      <c r="B903" s="2"/>
      <c r="C903" s="2"/>
    </row>
    <row r="904" ht="15.75" customHeight="1">
      <c r="A904" s="2"/>
      <c r="B904" s="2"/>
      <c r="C904" s="2"/>
    </row>
    <row r="905" ht="15.75" customHeight="1">
      <c r="A905" s="2"/>
      <c r="B905" s="2"/>
      <c r="C905" s="2"/>
    </row>
    <row r="906" ht="15.75" customHeight="1">
      <c r="A906" s="2"/>
      <c r="B906" s="2"/>
      <c r="C906" s="2"/>
    </row>
    <row r="907" ht="15.75" customHeight="1">
      <c r="A907" s="2"/>
      <c r="B907" s="2"/>
      <c r="C907" s="2"/>
    </row>
    <row r="908" ht="15.75" customHeight="1">
      <c r="A908" s="2"/>
      <c r="B908" s="2"/>
      <c r="C908" s="2"/>
    </row>
    <row r="909" ht="15.75" customHeight="1">
      <c r="A909" s="2"/>
      <c r="B909" s="2"/>
      <c r="C909" s="2"/>
    </row>
    <row r="910" ht="15.75" customHeight="1">
      <c r="A910" s="2"/>
      <c r="B910" s="2"/>
      <c r="C910" s="2"/>
    </row>
    <row r="911" ht="15.75" customHeight="1">
      <c r="A911" s="2"/>
      <c r="B911" s="2"/>
      <c r="C911" s="2"/>
    </row>
    <row r="912" ht="15.75" customHeight="1">
      <c r="A912" s="2"/>
      <c r="B912" s="2"/>
      <c r="C912" s="2"/>
    </row>
    <row r="913" ht="15.75" customHeight="1">
      <c r="A913" s="2"/>
      <c r="B913" s="2"/>
      <c r="C913" s="2"/>
    </row>
    <row r="914" ht="15.75" customHeight="1">
      <c r="A914" s="2"/>
      <c r="B914" s="2"/>
      <c r="C914" s="2"/>
    </row>
    <row r="915" ht="15.75" customHeight="1">
      <c r="A915" s="2"/>
      <c r="B915" s="2"/>
      <c r="C915" s="2"/>
    </row>
    <row r="916" ht="15.75" customHeight="1">
      <c r="A916" s="2"/>
      <c r="B916" s="2"/>
      <c r="C916" s="2"/>
    </row>
    <row r="917" ht="15.75" customHeight="1">
      <c r="A917" s="2"/>
      <c r="B917" s="2"/>
      <c r="C917" s="2"/>
    </row>
    <row r="918" ht="15.75" customHeight="1">
      <c r="A918" s="2"/>
      <c r="B918" s="2"/>
      <c r="C918" s="2"/>
    </row>
    <row r="919" ht="15.75" customHeight="1">
      <c r="A919" s="2"/>
      <c r="B919" s="2"/>
      <c r="C919" s="2"/>
    </row>
    <row r="920" ht="15.75" customHeight="1">
      <c r="A920" s="2"/>
      <c r="B920" s="2"/>
      <c r="C920" s="2"/>
    </row>
    <row r="921" ht="15.75" customHeight="1">
      <c r="A921" s="2"/>
      <c r="B921" s="2"/>
      <c r="C921" s="2"/>
    </row>
    <row r="922" ht="15.75" customHeight="1">
      <c r="A922" s="2"/>
      <c r="B922" s="2"/>
      <c r="C922" s="2"/>
    </row>
    <row r="923" ht="15.75" customHeight="1">
      <c r="A923" s="2"/>
      <c r="B923" s="2"/>
      <c r="C923" s="2"/>
    </row>
    <row r="924" ht="15.75" customHeight="1">
      <c r="A924" s="2"/>
      <c r="B924" s="2"/>
      <c r="C924" s="2"/>
    </row>
    <row r="925" ht="15.75" customHeight="1">
      <c r="A925" s="2"/>
      <c r="B925" s="2"/>
      <c r="C925" s="2"/>
    </row>
    <row r="926" ht="15.75" customHeight="1">
      <c r="A926" s="2"/>
      <c r="B926" s="2"/>
      <c r="C926" s="2"/>
    </row>
    <row r="927" ht="15.75" customHeight="1">
      <c r="A927" s="2"/>
      <c r="B927" s="2"/>
      <c r="C927" s="2"/>
    </row>
    <row r="928" ht="15.75" customHeight="1">
      <c r="A928" s="2"/>
      <c r="B928" s="2"/>
      <c r="C928" s="2"/>
    </row>
    <row r="929" ht="15.75" customHeight="1">
      <c r="A929" s="2"/>
      <c r="B929" s="2"/>
      <c r="C929" s="2"/>
    </row>
    <row r="930" ht="15.75" customHeight="1">
      <c r="A930" s="2"/>
      <c r="B930" s="2"/>
      <c r="C930" s="2"/>
    </row>
    <row r="931" ht="15.75" customHeight="1">
      <c r="A931" s="2"/>
      <c r="B931" s="2"/>
      <c r="C931" s="2"/>
    </row>
    <row r="932" ht="15.75" customHeight="1">
      <c r="A932" s="2"/>
      <c r="B932" s="2"/>
      <c r="C932" s="2"/>
    </row>
    <row r="933" ht="15.75" customHeight="1">
      <c r="A933" s="2"/>
      <c r="B933" s="2"/>
      <c r="C933" s="2"/>
    </row>
    <row r="934" ht="15.75" customHeight="1">
      <c r="A934" s="2"/>
      <c r="B934" s="2"/>
      <c r="C934" s="2"/>
    </row>
    <row r="935" ht="15.75" customHeight="1">
      <c r="A935" s="2"/>
      <c r="B935" s="2"/>
      <c r="C935" s="2"/>
    </row>
    <row r="936" ht="15.75" customHeight="1">
      <c r="A936" s="2"/>
      <c r="B936" s="2"/>
      <c r="C936" s="2"/>
    </row>
    <row r="937" ht="15.75" customHeight="1">
      <c r="A937" s="2"/>
      <c r="B937" s="2"/>
      <c r="C937" s="2"/>
    </row>
    <row r="938" ht="15.75" customHeight="1">
      <c r="A938" s="2"/>
      <c r="B938" s="2"/>
      <c r="C938" s="2"/>
    </row>
    <row r="939" ht="15.75" customHeight="1">
      <c r="A939" s="2"/>
      <c r="B939" s="2"/>
      <c r="C939" s="2"/>
    </row>
    <row r="940" ht="15.75" customHeight="1">
      <c r="A940" s="2"/>
      <c r="B940" s="2"/>
      <c r="C940" s="2"/>
    </row>
    <row r="941" ht="15.75" customHeight="1">
      <c r="A941" s="2"/>
      <c r="B941" s="2"/>
      <c r="C941" s="2"/>
    </row>
    <row r="942" ht="15.75" customHeight="1">
      <c r="A942" s="2"/>
      <c r="B942" s="2"/>
      <c r="C942" s="2"/>
    </row>
    <row r="943" ht="15.75" customHeight="1">
      <c r="A943" s="2"/>
      <c r="B943" s="2"/>
      <c r="C943" s="2"/>
    </row>
    <row r="944" ht="15.75" customHeight="1">
      <c r="A944" s="2"/>
      <c r="B944" s="2"/>
      <c r="C944" s="2"/>
    </row>
    <row r="945" ht="15.75" customHeight="1">
      <c r="A945" s="2"/>
      <c r="B945" s="2"/>
      <c r="C945" s="2"/>
    </row>
    <row r="946" ht="15.75" customHeight="1">
      <c r="A946" s="2"/>
      <c r="B946" s="2"/>
      <c r="C946" s="2"/>
    </row>
    <row r="947" ht="15.75" customHeight="1">
      <c r="A947" s="2"/>
      <c r="B947" s="2"/>
      <c r="C947" s="2"/>
    </row>
    <row r="948" ht="15.75" customHeight="1">
      <c r="A948" s="2"/>
      <c r="B948" s="2"/>
      <c r="C948" s="2"/>
    </row>
    <row r="949" ht="15.75" customHeight="1">
      <c r="A949" s="2"/>
      <c r="B949" s="2"/>
      <c r="C949" s="2"/>
    </row>
    <row r="950" ht="15.75" customHeight="1">
      <c r="A950" s="2"/>
      <c r="B950" s="2"/>
      <c r="C950" s="2"/>
    </row>
    <row r="951" ht="15.75" customHeight="1">
      <c r="A951" s="2"/>
      <c r="B951" s="2"/>
      <c r="C951" s="2"/>
    </row>
    <row r="952" ht="15.75" customHeight="1">
      <c r="A952" s="2"/>
      <c r="B952" s="2"/>
      <c r="C952" s="2"/>
    </row>
    <row r="953" ht="15.75" customHeight="1">
      <c r="A953" s="2"/>
      <c r="B953" s="2"/>
      <c r="C953" s="2"/>
    </row>
    <row r="954" ht="15.75" customHeight="1">
      <c r="A954" s="2"/>
      <c r="B954" s="2"/>
      <c r="C954" s="2"/>
    </row>
    <row r="955" ht="15.75" customHeight="1">
      <c r="A955" s="2"/>
      <c r="B955" s="2"/>
      <c r="C955" s="2"/>
    </row>
    <row r="956" ht="15.75" customHeight="1">
      <c r="A956" s="2"/>
      <c r="B956" s="2"/>
      <c r="C956" s="2"/>
    </row>
    <row r="957" ht="15.75" customHeight="1">
      <c r="A957" s="2"/>
      <c r="B957" s="2"/>
      <c r="C957" s="2"/>
    </row>
    <row r="958" ht="15.75" customHeight="1">
      <c r="A958" s="2"/>
      <c r="B958" s="2"/>
      <c r="C958" s="2"/>
    </row>
    <row r="959" ht="15.75" customHeight="1">
      <c r="A959" s="2"/>
      <c r="B959" s="2"/>
      <c r="C959" s="2"/>
    </row>
    <row r="960" ht="15.75" customHeight="1">
      <c r="A960" s="2"/>
      <c r="B960" s="2"/>
      <c r="C960" s="2"/>
    </row>
    <row r="961" ht="15.75" customHeight="1">
      <c r="A961" s="2"/>
      <c r="B961" s="2"/>
      <c r="C961" s="2"/>
    </row>
    <row r="962" ht="15.75" customHeight="1">
      <c r="A962" s="2"/>
      <c r="B962" s="2"/>
      <c r="C962" s="2"/>
    </row>
    <row r="963" ht="15.75" customHeight="1">
      <c r="A963" s="2"/>
      <c r="B963" s="2"/>
      <c r="C963" s="2"/>
    </row>
    <row r="964" ht="15.75" customHeight="1">
      <c r="A964" s="2"/>
      <c r="B964" s="2"/>
      <c r="C964" s="2"/>
    </row>
    <row r="965" ht="15.75" customHeight="1">
      <c r="A965" s="2"/>
      <c r="B965" s="2"/>
      <c r="C965" s="2"/>
    </row>
    <row r="966" ht="15.75" customHeight="1">
      <c r="A966" s="2"/>
      <c r="B966" s="2"/>
      <c r="C966" s="2"/>
    </row>
    <row r="967" ht="15.75" customHeight="1">
      <c r="A967" s="2"/>
      <c r="B967" s="2"/>
      <c r="C967" s="2"/>
    </row>
    <row r="968" ht="15.75" customHeight="1">
      <c r="A968" s="2"/>
      <c r="B968" s="2"/>
      <c r="C968" s="2"/>
    </row>
    <row r="969" ht="15.75" customHeight="1">
      <c r="A969" s="2"/>
      <c r="B969" s="2"/>
      <c r="C969" s="2"/>
    </row>
    <row r="970" ht="15.75" customHeight="1">
      <c r="A970" s="2"/>
      <c r="B970" s="2"/>
      <c r="C970" s="2"/>
    </row>
    <row r="971" ht="15.75" customHeight="1">
      <c r="A971" s="2"/>
      <c r="B971" s="2"/>
      <c r="C971" s="2"/>
    </row>
    <row r="972" ht="15.75" customHeight="1">
      <c r="A972" s="2"/>
      <c r="B972" s="2"/>
      <c r="C972" s="2"/>
    </row>
    <row r="973" ht="15.75" customHeight="1">
      <c r="A973" s="2"/>
      <c r="B973" s="2"/>
      <c r="C973" s="2"/>
    </row>
    <row r="974" ht="15.75" customHeight="1">
      <c r="A974" s="2"/>
      <c r="B974" s="2"/>
      <c r="C974" s="2"/>
    </row>
    <row r="975" ht="15.75" customHeight="1">
      <c r="A975" s="2"/>
      <c r="B975" s="2"/>
      <c r="C975" s="2"/>
    </row>
    <row r="976" ht="15.75" customHeight="1">
      <c r="A976" s="2"/>
      <c r="B976" s="2"/>
      <c r="C976" s="2"/>
    </row>
    <row r="977" ht="15.75" customHeight="1">
      <c r="A977" s="2"/>
      <c r="B977" s="2"/>
      <c r="C977" s="2"/>
    </row>
    <row r="978" ht="15.75" customHeight="1">
      <c r="A978" s="2"/>
      <c r="B978" s="2"/>
      <c r="C978" s="2"/>
    </row>
    <row r="979" ht="15.75" customHeight="1">
      <c r="A979" s="2"/>
      <c r="B979" s="2"/>
      <c r="C979" s="2"/>
    </row>
    <row r="980" ht="15.75" customHeight="1">
      <c r="A980" s="2"/>
      <c r="B980" s="2"/>
      <c r="C980" s="2"/>
    </row>
    <row r="981" ht="15.75" customHeight="1">
      <c r="A981" s="2"/>
      <c r="B981" s="2"/>
      <c r="C981" s="2"/>
    </row>
    <row r="982" ht="15.75" customHeight="1">
      <c r="A982" s="2"/>
      <c r="B982" s="2"/>
      <c r="C982" s="2"/>
    </row>
    <row r="983" ht="15.75" customHeight="1">
      <c r="A983" s="2"/>
      <c r="B983" s="2"/>
      <c r="C983" s="2"/>
    </row>
    <row r="984" ht="15.75" customHeight="1">
      <c r="A984" s="2"/>
      <c r="B984" s="2"/>
      <c r="C984" s="2"/>
    </row>
    <row r="985" ht="15.75" customHeight="1">
      <c r="A985" s="2"/>
      <c r="B985" s="2"/>
      <c r="C985" s="2"/>
    </row>
    <row r="986" ht="15.75" customHeight="1">
      <c r="A986" s="2"/>
      <c r="B986" s="2"/>
      <c r="C986" s="2"/>
    </row>
    <row r="987" ht="15.75" customHeight="1">
      <c r="A987" s="2"/>
      <c r="B987" s="2"/>
      <c r="C987" s="2"/>
    </row>
    <row r="988" ht="15.75" customHeight="1">
      <c r="A988" s="2"/>
      <c r="B988" s="2"/>
      <c r="C988" s="2"/>
    </row>
    <row r="989" ht="15.75" customHeight="1">
      <c r="A989" s="2"/>
      <c r="B989" s="2"/>
      <c r="C989" s="2"/>
    </row>
    <row r="990" ht="15.75" customHeight="1">
      <c r="A990" s="2"/>
      <c r="B990" s="2"/>
      <c r="C990" s="2"/>
    </row>
    <row r="991" ht="15.75" customHeight="1">
      <c r="A991" s="2"/>
      <c r="B991" s="2"/>
      <c r="C991" s="2"/>
    </row>
    <row r="992" ht="15.75" customHeight="1">
      <c r="A992" s="2"/>
      <c r="B992" s="2"/>
      <c r="C992" s="2"/>
    </row>
    <row r="993" ht="15.75" customHeight="1">
      <c r="A993" s="2"/>
      <c r="B993" s="2"/>
      <c r="C993" s="2"/>
    </row>
    <row r="994" ht="15.75" customHeight="1">
      <c r="A994" s="2"/>
      <c r="B994" s="2"/>
      <c r="C994" s="2"/>
    </row>
    <row r="995" ht="15.75" customHeight="1">
      <c r="A995" s="2"/>
      <c r="B995" s="2"/>
      <c r="C995" s="2"/>
    </row>
    <row r="996" ht="15.75" customHeight="1">
      <c r="A996" s="2"/>
      <c r="B996" s="2"/>
      <c r="C996" s="2"/>
    </row>
    <row r="997" ht="15.75" customHeight="1">
      <c r="A997" s="2"/>
      <c r="B997" s="2"/>
      <c r="C997" s="2"/>
    </row>
    <row r="998" ht="15.75" customHeight="1">
      <c r="A998" s="2"/>
      <c r="B998" s="2"/>
      <c r="C998" s="2"/>
    </row>
    <row r="999" ht="15.75" customHeight="1">
      <c r="A999" s="2"/>
      <c r="B999" s="2"/>
      <c r="C999" s="2"/>
    </row>
    <row r="1000" ht="15.75" customHeight="1">
      <c r="A1000" s="2"/>
      <c r="B1000" s="2"/>
      <c r="C1000" s="2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7" width="8.71"/>
  </cols>
  <sheetData>
    <row r="1" ht="15.0" customHeight="1">
      <c r="A1" s="1" t="s">
        <v>137</v>
      </c>
      <c r="B1" s="1" t="s">
        <v>2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  <c r="S1" s="1" t="s">
        <v>167</v>
      </c>
      <c r="T1" s="1" t="s">
        <v>168</v>
      </c>
      <c r="U1" s="1" t="s">
        <v>169</v>
      </c>
      <c r="V1" s="1" t="s">
        <v>170</v>
      </c>
      <c r="W1" s="1" t="s">
        <v>171</v>
      </c>
      <c r="X1" s="1" t="s">
        <v>172</v>
      </c>
      <c r="Y1" s="1" t="s">
        <v>173</v>
      </c>
      <c r="Z1" s="1" t="s">
        <v>174</v>
      </c>
      <c r="AA1" s="1" t="s">
        <v>175</v>
      </c>
    </row>
    <row r="2" ht="15.0" customHeight="1">
      <c r="A2" s="2" t="str">
        <f>CountryMeta!A2</f>
        <v>Argentina</v>
      </c>
      <c r="B2" s="2" t="str">
        <f>CountryMeta!C2</f>
        <v>Latin America &amp; Caribbean</v>
      </c>
      <c r="C2" s="2" t="str">
        <f>CountryMeta!D2</f>
        <v>Upper middle income</v>
      </c>
      <c r="D2" s="2" t="b">
        <f>AND(OR($B2=T1_Region,T1_Region="All Regions"),OR($C2=T1_Income,T1_Income="All Income Groups"))</f>
        <v>1</v>
      </c>
      <c r="E2" s="2">
        <f>SUMIFS(Data!$K:$K,Data!$A:$A,$A2,Data!$C:$C,T1_Year)</f>
        <v>52.16</v>
      </c>
      <c r="F2" s="2">
        <f>SUMIFS(Data!$M:$M,Data!$A:$A,$A2,Data!$C:$C,T1_Year)</f>
        <v>13679.63</v>
      </c>
      <c r="G2" s="2">
        <f>SUMIFS(Data!$K:$K,Data!$A:$A,$A2,Data!$C:$C,2013)</f>
        <v>51.86</v>
      </c>
      <c r="H2" s="2">
        <f>SUMIFS(Data!$K:$K,Data!$A:$A,$A2,Data!$C:$C,2024)</f>
        <v>47.99</v>
      </c>
      <c r="I2" s="2">
        <f t="shared" ref="I2:I36" si="1">H2-G2</f>
        <v>-3.87</v>
      </c>
      <c r="J2" s="2" t="str">
        <f t="shared" ref="J2:J36" si="2">IF($E2&gt;65,"High Risk",IF($E2&gt;=40,"Medium Risk","Low Risk"))</f>
        <v>Medium Risk</v>
      </c>
      <c r="K2" s="2">
        <f t="shared" ref="K2:K36" si="3">IF($D2,$E2,"")</f>
        <v>52.16</v>
      </c>
      <c r="L2" s="2">
        <f t="shared" ref="L2:L36" si="4">IF($D2,$I2,"")</f>
        <v>-3.87</v>
      </c>
      <c r="M2" s="2">
        <f t="shared" ref="M2:M36" si="5">IFERROR(RANK($K2,$K$2:$K$36,0),"")</f>
        <v>11</v>
      </c>
      <c r="N2" s="2" t="str">
        <f t="shared" ref="N2:N36" si="6">IF(AND($D2,$B2="East Asia &amp; Pacific"),$F2,"")</f>
        <v/>
      </c>
      <c r="O2" s="2" t="str">
        <f t="shared" ref="O2:O36" si="7">IF(AND($D2,$B2="East Asia &amp; Pacific"),$E2,"")</f>
        <v/>
      </c>
      <c r="P2" s="2" t="str">
        <f t="shared" ref="P2:P36" si="8">IF(AND($D2,$B2="Europe &amp; Central Asia"),$F2,"")</f>
        <v/>
      </c>
      <c r="Q2" s="2" t="str">
        <f t="shared" ref="Q2:Q36" si="9">IF(AND($D2,$B2="Europe &amp; Central Asia"),$E2,"")</f>
        <v/>
      </c>
      <c r="R2" s="2">
        <f t="shared" ref="R2:R36" si="10">IF(AND($D2,$B2="Latin America &amp; Caribbean"),$F2,"")</f>
        <v>13679.63</v>
      </c>
      <c r="S2" s="2">
        <f t="shared" ref="S2:S36" si="11">IF(AND($D2,$B2="Latin America &amp; Caribbean"),$E2,"")</f>
        <v>52.16</v>
      </c>
      <c r="T2" s="2" t="str">
        <f t="shared" ref="T2:T36" si="12">IF(AND($D2,$B2="Middle East &amp; North Africa"),$F2,"")</f>
        <v/>
      </c>
      <c r="U2" s="2" t="str">
        <f t="shared" ref="U2:U36" si="13">IF(AND($D2,$B2="Middle East &amp; North Africa"),$E2,"")</f>
        <v/>
      </c>
      <c r="V2" s="2" t="str">
        <f t="shared" ref="V2:V36" si="14">IF(AND($D2,$B2="North America"),$F2,"")</f>
        <v/>
      </c>
      <c r="W2" s="2" t="str">
        <f t="shared" ref="W2:W36" si="15">IF(AND($D2,$B2="North America"),$E2,"")</f>
        <v/>
      </c>
      <c r="X2" s="2" t="str">
        <f t="shared" ref="X2:X36" si="16">IF(AND($D2,$B2="South Asia"),$F2,"")</f>
        <v/>
      </c>
      <c r="Y2" s="2" t="str">
        <f t="shared" ref="Y2:Y36" si="17">IF(AND($D2,$B2="South Asia"),$E2,"")</f>
        <v/>
      </c>
      <c r="Z2" s="2" t="str">
        <f t="shared" ref="Z2:Z36" si="18">IF(AND($D2,$B2="Sub-Saharan Africa"),$F2,"")</f>
        <v/>
      </c>
      <c r="AA2" s="2" t="str">
        <f t="shared" ref="AA2:AA36" si="19">IF(AND($D2,$B2="Sub-Saharan Africa"),$E2,"")</f>
        <v/>
      </c>
    </row>
    <row r="3" ht="15.0" customHeight="1">
      <c r="A3" s="2" t="str">
        <f>CountryMeta!A3</f>
        <v>Australia</v>
      </c>
      <c r="B3" s="2" t="str">
        <f>CountryMeta!C3</f>
        <v>East Asia &amp; Pacific</v>
      </c>
      <c r="C3" s="2" t="str">
        <f>CountryMeta!D3</f>
        <v>High income</v>
      </c>
      <c r="D3" s="2" t="b">
        <f>AND(OR($B3=T1_Region,T1_Region="All Regions"),OR($C3=T1_Income,T1_Income="All Income Groups"))</f>
        <v>1</v>
      </c>
      <c r="E3" s="2">
        <f>SUMIFS(Data!$K:$K,Data!$A:$A,$A3,Data!$C:$C,T1_Year)</f>
        <v>16.54</v>
      </c>
      <c r="F3" s="2">
        <f>SUMIFS(Data!$M:$M,Data!$A:$A,$A3,Data!$C:$C,T1_Year)</f>
        <v>56970.36</v>
      </c>
      <c r="G3" s="2">
        <f>SUMIFS(Data!$K:$K,Data!$A:$A,$A3,Data!$C:$C,2013)</f>
        <v>16.31</v>
      </c>
      <c r="H3" s="2">
        <f>SUMIFS(Data!$K:$K,Data!$A:$A,$A3,Data!$C:$C,2024)</f>
        <v>17.73</v>
      </c>
      <c r="I3" s="2">
        <f t="shared" si="1"/>
        <v>1.42</v>
      </c>
      <c r="J3" s="2" t="str">
        <f t="shared" si="2"/>
        <v>Low Risk</v>
      </c>
      <c r="K3" s="2">
        <f t="shared" si="3"/>
        <v>16.54</v>
      </c>
      <c r="L3" s="2">
        <f t="shared" si="4"/>
        <v>1.42</v>
      </c>
      <c r="M3" s="2">
        <f t="shared" si="5"/>
        <v>34</v>
      </c>
      <c r="N3" s="2">
        <f t="shared" si="6"/>
        <v>56970.36</v>
      </c>
      <c r="O3" s="2">
        <f t="shared" si="7"/>
        <v>16.54</v>
      </c>
      <c r="P3" s="2" t="str">
        <f t="shared" si="8"/>
        <v/>
      </c>
      <c r="Q3" s="2" t="str">
        <f t="shared" si="9"/>
        <v/>
      </c>
      <c r="R3" s="2" t="str">
        <f t="shared" si="10"/>
        <v/>
      </c>
      <c r="S3" s="2" t="str">
        <f t="shared" si="11"/>
        <v/>
      </c>
      <c r="T3" s="2" t="str">
        <f t="shared" si="12"/>
        <v/>
      </c>
      <c r="U3" s="2" t="str">
        <f t="shared" si="13"/>
        <v/>
      </c>
      <c r="V3" s="2" t="str">
        <f t="shared" si="14"/>
        <v/>
      </c>
      <c r="W3" s="2" t="str">
        <f t="shared" si="15"/>
        <v/>
      </c>
      <c r="X3" s="2" t="str">
        <f t="shared" si="16"/>
        <v/>
      </c>
      <c r="Y3" s="2" t="str">
        <f t="shared" si="17"/>
        <v/>
      </c>
      <c r="Z3" s="2" t="str">
        <f t="shared" si="18"/>
        <v/>
      </c>
      <c r="AA3" s="2" t="str">
        <f t="shared" si="19"/>
        <v/>
      </c>
    </row>
    <row r="4" ht="15.0" customHeight="1">
      <c r="A4" s="2" t="str">
        <f>CountryMeta!A4</f>
        <v>Bangladesh</v>
      </c>
      <c r="B4" s="2" t="str">
        <f>CountryMeta!C4</f>
        <v>South Asia</v>
      </c>
      <c r="C4" s="2" t="str">
        <f>CountryMeta!D4</f>
        <v>Lower middle income</v>
      </c>
      <c r="D4" s="2" t="b">
        <f>AND(OR($B4=T1_Region,T1_Region="All Regions"),OR($C4=T1_Income,T1_Income="All Income Groups"))</f>
        <v>1</v>
      </c>
      <c r="E4" s="2">
        <f>SUMIFS(Data!$K:$K,Data!$A:$A,$A4,Data!$C:$C,T1_Year)</f>
        <v>61.51</v>
      </c>
      <c r="F4" s="2">
        <f>SUMIFS(Data!$M:$M,Data!$A:$A,$A4,Data!$C:$C,T1_Year)</f>
        <v>1224.39</v>
      </c>
      <c r="G4" s="2">
        <f>SUMIFS(Data!$K:$K,Data!$A:$A,$A4,Data!$C:$C,2013)</f>
        <v>64.84</v>
      </c>
      <c r="H4" s="2">
        <f>SUMIFS(Data!$K:$K,Data!$A:$A,$A4,Data!$C:$C,2024)</f>
        <v>63.31</v>
      </c>
      <c r="I4" s="2">
        <f t="shared" si="1"/>
        <v>-1.53</v>
      </c>
      <c r="J4" s="2" t="str">
        <f t="shared" si="2"/>
        <v>Medium Risk</v>
      </c>
      <c r="K4" s="2">
        <f t="shared" si="3"/>
        <v>61.51</v>
      </c>
      <c r="L4" s="2">
        <f t="shared" si="4"/>
        <v>-1.53</v>
      </c>
      <c r="M4" s="2">
        <f t="shared" si="5"/>
        <v>4</v>
      </c>
      <c r="N4" s="2" t="str">
        <f t="shared" si="6"/>
        <v/>
      </c>
      <c r="O4" s="2" t="str">
        <f t="shared" si="7"/>
        <v/>
      </c>
      <c r="P4" s="2" t="str">
        <f t="shared" si="8"/>
        <v/>
      </c>
      <c r="Q4" s="2" t="str">
        <f t="shared" si="9"/>
        <v/>
      </c>
      <c r="R4" s="2" t="str">
        <f t="shared" si="10"/>
        <v/>
      </c>
      <c r="S4" s="2" t="str">
        <f t="shared" si="11"/>
        <v/>
      </c>
      <c r="T4" s="2" t="str">
        <f t="shared" si="12"/>
        <v/>
      </c>
      <c r="U4" s="2" t="str">
        <f t="shared" si="13"/>
        <v/>
      </c>
      <c r="V4" s="2" t="str">
        <f t="shared" si="14"/>
        <v/>
      </c>
      <c r="W4" s="2" t="str">
        <f t="shared" si="15"/>
        <v/>
      </c>
      <c r="X4" s="2">
        <f t="shared" si="16"/>
        <v>1224.39</v>
      </c>
      <c r="Y4" s="2">
        <f t="shared" si="17"/>
        <v>61.51</v>
      </c>
      <c r="Z4" s="2" t="str">
        <f t="shared" si="18"/>
        <v/>
      </c>
      <c r="AA4" s="2" t="str">
        <f t="shared" si="19"/>
        <v/>
      </c>
    </row>
    <row r="5" ht="15.0" customHeight="1">
      <c r="A5" s="2" t="str">
        <f>CountryMeta!A5</f>
        <v>Brazil</v>
      </c>
      <c r="B5" s="2" t="str">
        <f>CountryMeta!C5</f>
        <v>Latin America &amp; Caribbean</v>
      </c>
      <c r="C5" s="2" t="str">
        <f>CountryMeta!D5</f>
        <v>Upper middle income</v>
      </c>
      <c r="D5" s="2" t="b">
        <f>AND(OR($B5=T1_Region,T1_Region="All Regions"),OR($C5=T1_Income,T1_Income="All Income Groups"))</f>
        <v>1</v>
      </c>
      <c r="E5" s="2">
        <f>SUMIFS(Data!$K:$K,Data!$A:$A,$A5,Data!$C:$C,T1_Year)</f>
        <v>48.85</v>
      </c>
      <c r="F5" s="2">
        <f>SUMIFS(Data!$M:$M,Data!$A:$A,$A5,Data!$C:$C,T1_Year)</f>
        <v>8936.2</v>
      </c>
      <c r="G5" s="2">
        <f>SUMIFS(Data!$K:$K,Data!$A:$A,$A5,Data!$C:$C,2013)</f>
        <v>45.54</v>
      </c>
      <c r="H5" s="2">
        <f>SUMIFS(Data!$K:$K,Data!$A:$A,$A5,Data!$C:$C,2024)</f>
        <v>50.98</v>
      </c>
      <c r="I5" s="2">
        <f t="shared" si="1"/>
        <v>5.44</v>
      </c>
      <c r="J5" s="2" t="str">
        <f t="shared" si="2"/>
        <v>Medium Risk</v>
      </c>
      <c r="K5" s="2">
        <f t="shared" si="3"/>
        <v>48.85</v>
      </c>
      <c r="L5" s="2">
        <f t="shared" si="4"/>
        <v>5.44</v>
      </c>
      <c r="M5" s="2">
        <f t="shared" si="5"/>
        <v>19</v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>
        <f t="shared" si="10"/>
        <v>8936.2</v>
      </c>
      <c r="S5" s="2">
        <f t="shared" si="11"/>
        <v>48.85</v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</row>
    <row r="6" ht="15.0" customHeight="1">
      <c r="A6" s="2" t="str">
        <f>CountryMeta!A6</f>
        <v>Canada</v>
      </c>
      <c r="B6" s="2" t="str">
        <f>CountryMeta!C6</f>
        <v>North America</v>
      </c>
      <c r="C6" s="2" t="str">
        <f>CountryMeta!D6</f>
        <v>High income</v>
      </c>
      <c r="D6" s="2" t="b">
        <f>AND(OR($B6=T1_Region,T1_Region="All Regions"),OR($C6=T1_Income,T1_Income="All Income Groups"))</f>
        <v>1</v>
      </c>
      <c r="E6" s="2">
        <f>SUMIFS(Data!$K:$K,Data!$A:$A,$A6,Data!$C:$C,T1_Year)</f>
        <v>15.16</v>
      </c>
      <c r="F6" s="2">
        <f>SUMIFS(Data!$M:$M,Data!$A:$A,$A6,Data!$C:$C,T1_Year)</f>
        <v>43594.24</v>
      </c>
      <c r="G6" s="2">
        <f>SUMIFS(Data!$K:$K,Data!$A:$A,$A6,Data!$C:$C,2013)</f>
        <v>16.26</v>
      </c>
      <c r="H6" s="2">
        <f>SUMIFS(Data!$K:$K,Data!$A:$A,$A6,Data!$C:$C,2024)</f>
        <v>21.14</v>
      </c>
      <c r="I6" s="2">
        <f t="shared" si="1"/>
        <v>4.88</v>
      </c>
      <c r="J6" s="2" t="str">
        <f t="shared" si="2"/>
        <v>Low Risk</v>
      </c>
      <c r="K6" s="2">
        <f t="shared" si="3"/>
        <v>15.16</v>
      </c>
      <c r="L6" s="2">
        <f t="shared" si="4"/>
        <v>4.88</v>
      </c>
      <c r="M6" s="2">
        <f t="shared" si="5"/>
        <v>35</v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>
        <f t="shared" si="14"/>
        <v>43594.24</v>
      </c>
      <c r="W6" s="2">
        <f t="shared" si="15"/>
        <v>15.16</v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</row>
    <row r="7" ht="15.0" customHeight="1">
      <c r="A7" s="2" t="str">
        <f>CountryMeta!A7</f>
        <v>Chile</v>
      </c>
      <c r="B7" s="2" t="str">
        <f>CountryMeta!C7</f>
        <v>Latin America &amp; Caribbean</v>
      </c>
      <c r="C7" s="2" t="str">
        <f>CountryMeta!D7</f>
        <v>High income</v>
      </c>
      <c r="D7" s="2" t="b">
        <f>AND(OR($B7=T1_Region,T1_Region="All Regions"),OR($C7=T1_Income,T1_Income="All Income Groups"))</f>
        <v>1</v>
      </c>
      <c r="E7" s="2">
        <f>SUMIFS(Data!$K:$K,Data!$A:$A,$A7,Data!$C:$C,T1_Year)</f>
        <v>25.78</v>
      </c>
      <c r="F7" s="2">
        <f>SUMIFS(Data!$M:$M,Data!$A:$A,$A7,Data!$C:$C,T1_Year)</f>
        <v>13433.92</v>
      </c>
      <c r="G7" s="2">
        <f>SUMIFS(Data!$K:$K,Data!$A:$A,$A7,Data!$C:$C,2013)</f>
        <v>23.37</v>
      </c>
      <c r="H7" s="2">
        <f>SUMIFS(Data!$K:$K,Data!$A:$A,$A7,Data!$C:$C,2024)</f>
        <v>31.44</v>
      </c>
      <c r="I7" s="2">
        <f t="shared" si="1"/>
        <v>8.07</v>
      </c>
      <c r="J7" s="2" t="str">
        <f t="shared" si="2"/>
        <v>Low Risk</v>
      </c>
      <c r="K7" s="2">
        <f t="shared" si="3"/>
        <v>25.78</v>
      </c>
      <c r="L7" s="2">
        <f t="shared" si="4"/>
        <v>8.07</v>
      </c>
      <c r="M7" s="2">
        <f t="shared" si="5"/>
        <v>29</v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>
        <f t="shared" si="10"/>
        <v>13433.92</v>
      </c>
      <c r="S7" s="2">
        <f t="shared" si="11"/>
        <v>25.78</v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</row>
    <row r="8" ht="15.0" customHeight="1">
      <c r="A8" s="2" t="str">
        <f>CountryMeta!A8</f>
        <v>China</v>
      </c>
      <c r="B8" s="2" t="str">
        <f>CountryMeta!C8</f>
        <v>East Asia &amp; Pacific</v>
      </c>
      <c r="C8" s="2" t="str">
        <f>CountryMeta!D8</f>
        <v>Upper middle income</v>
      </c>
      <c r="D8" s="2" t="b">
        <f>AND(OR($B8=T1_Region,T1_Region="All Regions"),OR($C8=T1_Income,T1_Income="All Income Groups"))</f>
        <v>1</v>
      </c>
      <c r="E8" s="2">
        <f>SUMIFS(Data!$K:$K,Data!$A:$A,$A8,Data!$C:$C,T1_Year)</f>
        <v>50.38</v>
      </c>
      <c r="F8" s="2">
        <f>SUMIFS(Data!$M:$M,Data!$A:$A,$A8,Data!$C:$C,T1_Year)</f>
        <v>8175.33</v>
      </c>
      <c r="G8" s="2">
        <f>SUMIFS(Data!$K:$K,Data!$A:$A,$A8,Data!$C:$C,2013)</f>
        <v>52.78</v>
      </c>
      <c r="H8" s="2">
        <f>SUMIFS(Data!$K:$K,Data!$A:$A,$A8,Data!$C:$C,2024)</f>
        <v>46.59</v>
      </c>
      <c r="I8" s="2">
        <f t="shared" si="1"/>
        <v>-6.19</v>
      </c>
      <c r="J8" s="2" t="str">
        <f t="shared" si="2"/>
        <v>Medium Risk</v>
      </c>
      <c r="K8" s="2">
        <f t="shared" si="3"/>
        <v>50.38</v>
      </c>
      <c r="L8" s="2">
        <f t="shared" si="4"/>
        <v>-6.19</v>
      </c>
      <c r="M8" s="2">
        <f t="shared" si="5"/>
        <v>15</v>
      </c>
      <c r="N8" s="2">
        <f t="shared" si="6"/>
        <v>8175.33</v>
      </c>
      <c r="O8" s="2">
        <f t="shared" si="7"/>
        <v>50.38</v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</row>
    <row r="9" ht="15.0" customHeight="1">
      <c r="A9" s="2" t="str">
        <f>CountryMeta!A9</f>
        <v>Colombia</v>
      </c>
      <c r="B9" s="2" t="str">
        <f>CountryMeta!C9</f>
        <v>Latin America &amp; Caribbean</v>
      </c>
      <c r="C9" s="2" t="str">
        <f>CountryMeta!D9</f>
        <v>Upper middle income</v>
      </c>
      <c r="D9" s="2" t="b">
        <f>AND(OR($B9=T1_Region,T1_Region="All Regions"),OR($C9=T1_Income,T1_Income="All Income Groups"))</f>
        <v>1</v>
      </c>
      <c r="E9" s="2">
        <f>SUMIFS(Data!$K:$K,Data!$A:$A,$A9,Data!$C:$C,T1_Year)</f>
        <v>49.79</v>
      </c>
      <c r="F9" s="2">
        <f>SUMIFS(Data!$M:$M,Data!$A:$A,$A9,Data!$C:$C,T1_Year)</f>
        <v>6248.51</v>
      </c>
      <c r="G9" s="2">
        <f>SUMIFS(Data!$K:$K,Data!$A:$A,$A9,Data!$C:$C,2013)</f>
        <v>52.54</v>
      </c>
      <c r="H9" s="2">
        <f>SUMIFS(Data!$K:$K,Data!$A:$A,$A9,Data!$C:$C,2024)</f>
        <v>51.59</v>
      </c>
      <c r="I9" s="2">
        <f t="shared" si="1"/>
        <v>-0.95</v>
      </c>
      <c r="J9" s="2" t="str">
        <f t="shared" si="2"/>
        <v>Medium Risk</v>
      </c>
      <c r="K9" s="2">
        <f t="shared" si="3"/>
        <v>49.79</v>
      </c>
      <c r="L9" s="2">
        <f t="shared" si="4"/>
        <v>-0.95</v>
      </c>
      <c r="M9" s="2">
        <f t="shared" si="5"/>
        <v>18</v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>
        <f t="shared" si="10"/>
        <v>6248.51</v>
      </c>
      <c r="S9" s="2">
        <f t="shared" si="11"/>
        <v>49.79</v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</row>
    <row r="10" ht="15.0" customHeight="1">
      <c r="A10" s="2" t="str">
        <f>CountryMeta!A10</f>
        <v>Congo, Dem. Rep.</v>
      </c>
      <c r="B10" s="2" t="str">
        <f>CountryMeta!C10</f>
        <v>Sub-Saharan Africa</v>
      </c>
      <c r="C10" s="2" t="str">
        <f>CountryMeta!D10</f>
        <v>Low income</v>
      </c>
      <c r="D10" s="2" t="b">
        <f>AND(OR($B10=T1_Region,T1_Region="All Regions"),OR($C10=T1_Income,T1_Income="All Income Groups"))</f>
        <v>1</v>
      </c>
      <c r="E10" s="2">
        <f>SUMIFS(Data!$K:$K,Data!$A:$A,$A10,Data!$C:$C,T1_Year)</f>
        <v>70.99</v>
      </c>
      <c r="F10" s="2">
        <f>SUMIFS(Data!$M:$M,Data!$A:$A,$A10,Data!$C:$C,T1_Year)</f>
        <v>495.83</v>
      </c>
      <c r="G10" s="2">
        <f>SUMIFS(Data!$K:$K,Data!$A:$A,$A10,Data!$C:$C,2013)</f>
        <v>71.92</v>
      </c>
      <c r="H10" s="2">
        <f>SUMIFS(Data!$K:$K,Data!$A:$A,$A10,Data!$C:$C,2024)</f>
        <v>72.39</v>
      </c>
      <c r="I10" s="2">
        <f t="shared" si="1"/>
        <v>0.47</v>
      </c>
      <c r="J10" s="2" t="str">
        <f t="shared" si="2"/>
        <v>High Risk</v>
      </c>
      <c r="K10" s="2">
        <f t="shared" si="3"/>
        <v>70.99</v>
      </c>
      <c r="L10" s="2">
        <f t="shared" si="4"/>
        <v>0.47</v>
      </c>
      <c r="M10" s="2">
        <f t="shared" si="5"/>
        <v>1</v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>
        <f t="shared" si="18"/>
        <v>495.83</v>
      </c>
      <c r="AA10" s="2">
        <f t="shared" si="19"/>
        <v>70.99</v>
      </c>
    </row>
    <row r="11" ht="15.0" customHeight="1">
      <c r="A11" s="2" t="str">
        <f>CountryMeta!A11</f>
        <v>Egypt, Arab Rep.</v>
      </c>
      <c r="B11" s="2" t="str">
        <f>CountryMeta!C11</f>
        <v>Middle East &amp; North Africa</v>
      </c>
      <c r="C11" s="2" t="str">
        <f>CountryMeta!D11</f>
        <v>Lower middle income</v>
      </c>
      <c r="D11" s="2" t="b">
        <f>AND(OR($B11=T1_Region,T1_Region="All Regions"),OR($C11=T1_Income,T1_Income="All Income Groups"))</f>
        <v>1</v>
      </c>
      <c r="E11" s="2">
        <f>SUMIFS(Data!$K:$K,Data!$A:$A,$A11,Data!$C:$C,T1_Year)</f>
        <v>59.45</v>
      </c>
      <c r="F11" s="2">
        <f>SUMIFS(Data!$M:$M,Data!$A:$A,$A11,Data!$C:$C,T1_Year)</f>
        <v>3306.98</v>
      </c>
      <c r="G11" s="2">
        <f>SUMIFS(Data!$K:$K,Data!$A:$A,$A11,Data!$C:$C,2013)</f>
        <v>60.52</v>
      </c>
      <c r="H11" s="2">
        <f>SUMIFS(Data!$K:$K,Data!$A:$A,$A11,Data!$C:$C,2024)</f>
        <v>57.17</v>
      </c>
      <c r="I11" s="2">
        <f t="shared" si="1"/>
        <v>-3.35</v>
      </c>
      <c r="J11" s="2" t="str">
        <f t="shared" si="2"/>
        <v>Medium Risk</v>
      </c>
      <c r="K11" s="2">
        <f t="shared" si="3"/>
        <v>59.45</v>
      </c>
      <c r="L11" s="2">
        <f t="shared" si="4"/>
        <v>-3.35</v>
      </c>
      <c r="M11" s="2">
        <f t="shared" si="5"/>
        <v>5</v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>
        <f t="shared" si="12"/>
        <v>3306.98</v>
      </c>
      <c r="U11" s="2">
        <f t="shared" si="13"/>
        <v>59.45</v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</row>
    <row r="12" ht="15.0" customHeight="1">
      <c r="A12" s="2" t="str">
        <f>CountryMeta!A12</f>
        <v>Ethiopia</v>
      </c>
      <c r="B12" s="2" t="str">
        <f>CountryMeta!C12</f>
        <v>Sub-Saharan Africa</v>
      </c>
      <c r="C12" s="2" t="str">
        <f>CountryMeta!D12</f>
        <v>Low income</v>
      </c>
      <c r="D12" s="2" t="b">
        <f>AND(OR($B12=T1_Region,T1_Region="All Regions"),OR($C12=T1_Income,T1_Income="All Income Groups"))</f>
        <v>1</v>
      </c>
      <c r="E12" s="2">
        <f>SUMIFS(Data!$K:$K,Data!$A:$A,$A12,Data!$C:$C,T1_Year)</f>
        <v>58.66</v>
      </c>
      <c r="F12" s="2">
        <f>SUMIFS(Data!$M:$M,Data!$A:$A,$A12,Data!$C:$C,T1_Year)</f>
        <v>597.91</v>
      </c>
      <c r="G12" s="2">
        <f>SUMIFS(Data!$K:$K,Data!$A:$A,$A12,Data!$C:$C,2013)</f>
        <v>60.29</v>
      </c>
      <c r="H12" s="2">
        <f>SUMIFS(Data!$K:$K,Data!$A:$A,$A12,Data!$C:$C,2024)</f>
        <v>61.67</v>
      </c>
      <c r="I12" s="2">
        <f t="shared" si="1"/>
        <v>1.38</v>
      </c>
      <c r="J12" s="2" t="str">
        <f t="shared" si="2"/>
        <v>Medium Risk</v>
      </c>
      <c r="K12" s="2">
        <f t="shared" si="3"/>
        <v>58.66</v>
      </c>
      <c r="L12" s="2">
        <f t="shared" si="4"/>
        <v>1.38</v>
      </c>
      <c r="M12" s="2">
        <f t="shared" si="5"/>
        <v>7</v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>
        <f t="shared" si="18"/>
        <v>597.91</v>
      </c>
      <c r="AA12" s="2">
        <f t="shared" si="19"/>
        <v>58.66</v>
      </c>
    </row>
    <row r="13" ht="15.0" customHeight="1">
      <c r="A13" s="2" t="str">
        <f>CountryMeta!A13</f>
        <v>France</v>
      </c>
      <c r="B13" s="2" t="str">
        <f>CountryMeta!C13</f>
        <v>Europe &amp; Central Asia</v>
      </c>
      <c r="C13" s="2" t="str">
        <f>CountryMeta!D13</f>
        <v>High income</v>
      </c>
      <c r="D13" s="2" t="b">
        <f>AND(OR($B13=T1_Region,T1_Region="All Regions"),OR($C13=T1_Income,T1_Income="All Income Groups"))</f>
        <v>1</v>
      </c>
      <c r="E13" s="2">
        <f>SUMIFS(Data!$K:$K,Data!$A:$A,$A13,Data!$C:$C,T1_Year)</f>
        <v>26.57</v>
      </c>
      <c r="F13" s="2">
        <f>SUMIFS(Data!$M:$M,Data!$A:$A,$A13,Data!$C:$C,T1_Year)</f>
        <v>36702.43</v>
      </c>
      <c r="G13" s="2">
        <f>SUMIFS(Data!$K:$K,Data!$A:$A,$A13,Data!$C:$C,2013)</f>
        <v>24.93</v>
      </c>
      <c r="H13" s="2">
        <f>SUMIFS(Data!$K:$K,Data!$A:$A,$A13,Data!$C:$C,2024)</f>
        <v>29.74</v>
      </c>
      <c r="I13" s="2">
        <f t="shared" si="1"/>
        <v>4.81</v>
      </c>
      <c r="J13" s="2" t="str">
        <f t="shared" si="2"/>
        <v>Low Risk</v>
      </c>
      <c r="K13" s="2">
        <f t="shared" si="3"/>
        <v>26.57</v>
      </c>
      <c r="L13" s="2">
        <f t="shared" si="4"/>
        <v>4.81</v>
      </c>
      <c r="M13" s="2">
        <f t="shared" si="5"/>
        <v>28</v>
      </c>
      <c r="N13" s="2" t="str">
        <f t="shared" si="6"/>
        <v/>
      </c>
      <c r="O13" s="2" t="str">
        <f t="shared" si="7"/>
        <v/>
      </c>
      <c r="P13" s="2">
        <f t="shared" si="8"/>
        <v>36702.43</v>
      </c>
      <c r="Q13" s="2">
        <f t="shared" si="9"/>
        <v>26.57</v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</row>
    <row r="14" ht="15.0" customHeight="1">
      <c r="A14" s="2" t="str">
        <f>CountryMeta!A14</f>
        <v>Georgia</v>
      </c>
      <c r="B14" s="2" t="str">
        <f>CountryMeta!C14</f>
        <v>Europe &amp; Central Asia</v>
      </c>
      <c r="C14" s="2" t="str">
        <f>CountryMeta!D14</f>
        <v>Upper middle income</v>
      </c>
      <c r="D14" s="2" t="b">
        <f>AND(OR($B14=T1_Region,T1_Region="All Regions"),OR($C14=T1_Income,T1_Income="All Income Groups"))</f>
        <v>1</v>
      </c>
      <c r="E14" s="2">
        <f>SUMIFS(Data!$K:$K,Data!$A:$A,$A14,Data!$C:$C,T1_Year)</f>
        <v>35.41</v>
      </c>
      <c r="F14" s="2">
        <f>SUMIFS(Data!$M:$M,Data!$A:$A,$A14,Data!$C:$C,T1_Year)</f>
        <v>4086.62</v>
      </c>
      <c r="G14" s="2">
        <f>SUMIFS(Data!$K:$K,Data!$A:$A,$A14,Data!$C:$C,2013)</f>
        <v>38.45</v>
      </c>
      <c r="H14" s="2">
        <f>SUMIFS(Data!$K:$K,Data!$A:$A,$A14,Data!$C:$C,2024)</f>
        <v>41.09</v>
      </c>
      <c r="I14" s="2">
        <f t="shared" si="1"/>
        <v>2.64</v>
      </c>
      <c r="J14" s="2" t="str">
        <f t="shared" si="2"/>
        <v>Low Risk</v>
      </c>
      <c r="K14" s="2">
        <f t="shared" si="3"/>
        <v>35.41</v>
      </c>
      <c r="L14" s="2">
        <f t="shared" si="4"/>
        <v>2.64</v>
      </c>
      <c r="M14" s="2">
        <f t="shared" si="5"/>
        <v>25</v>
      </c>
      <c r="N14" s="2" t="str">
        <f t="shared" si="6"/>
        <v/>
      </c>
      <c r="O14" s="2" t="str">
        <f t="shared" si="7"/>
        <v/>
      </c>
      <c r="P14" s="2">
        <f t="shared" si="8"/>
        <v>4086.62</v>
      </c>
      <c r="Q14" s="2">
        <f t="shared" si="9"/>
        <v>35.41</v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</row>
    <row r="15" ht="15.0" customHeight="1">
      <c r="A15" s="2" t="str">
        <f>CountryMeta!A15</f>
        <v>Germany</v>
      </c>
      <c r="B15" s="2" t="str">
        <f>CountryMeta!C15</f>
        <v>Europe &amp; Central Asia</v>
      </c>
      <c r="C15" s="2" t="str">
        <f>CountryMeta!D15</f>
        <v>High income</v>
      </c>
      <c r="D15" s="2" t="b">
        <f>AND(OR($B15=T1_Region,T1_Region="All Regions"),OR($C15=T1_Income,T1_Income="All Income Groups"))</f>
        <v>1</v>
      </c>
      <c r="E15" s="2">
        <f>SUMIFS(Data!$K:$K,Data!$A:$A,$A15,Data!$C:$C,T1_Year)</f>
        <v>17.38</v>
      </c>
      <c r="F15" s="2">
        <f>SUMIFS(Data!$M:$M,Data!$A:$A,$A15,Data!$C:$C,T1_Year)</f>
        <v>41929.75</v>
      </c>
      <c r="G15" s="2">
        <f>SUMIFS(Data!$K:$K,Data!$A:$A,$A15,Data!$C:$C,2013)</f>
        <v>18.46</v>
      </c>
      <c r="H15" s="2">
        <f>SUMIFS(Data!$K:$K,Data!$A:$A,$A15,Data!$C:$C,2024)</f>
        <v>21.2</v>
      </c>
      <c r="I15" s="2">
        <f t="shared" si="1"/>
        <v>2.74</v>
      </c>
      <c r="J15" s="2" t="str">
        <f t="shared" si="2"/>
        <v>Low Risk</v>
      </c>
      <c r="K15" s="2">
        <f t="shared" si="3"/>
        <v>17.38</v>
      </c>
      <c r="L15" s="2">
        <f t="shared" si="4"/>
        <v>2.74</v>
      </c>
      <c r="M15" s="2">
        <f t="shared" si="5"/>
        <v>33</v>
      </c>
      <c r="N15" s="2" t="str">
        <f t="shared" si="6"/>
        <v/>
      </c>
      <c r="O15" s="2" t="str">
        <f t="shared" si="7"/>
        <v/>
      </c>
      <c r="P15" s="2">
        <f t="shared" si="8"/>
        <v>41929.75</v>
      </c>
      <c r="Q15" s="2">
        <f t="shared" si="9"/>
        <v>17.38</v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</row>
    <row r="16" ht="15.0" customHeight="1">
      <c r="A16" s="2" t="str">
        <f>CountryMeta!A16</f>
        <v>Greece</v>
      </c>
      <c r="B16" s="2" t="str">
        <f>CountryMeta!C16</f>
        <v>Europe &amp; Central Asia</v>
      </c>
      <c r="C16" s="2" t="str">
        <f>CountryMeta!D16</f>
        <v>High income</v>
      </c>
      <c r="D16" s="2" t="b">
        <f>AND(OR($B16=T1_Region,T1_Region="All Regions"),OR($C16=T1_Income,T1_Income="All Income Groups"))</f>
        <v>1</v>
      </c>
      <c r="E16" s="2">
        <f>SUMIFS(Data!$K:$K,Data!$A:$A,$A16,Data!$C:$C,T1_Year)</f>
        <v>41.61</v>
      </c>
      <c r="F16" s="2">
        <f>SUMIFS(Data!$M:$M,Data!$A:$A,$A16,Data!$C:$C,T1_Year)</f>
        <v>17980.73</v>
      </c>
      <c r="G16" s="2">
        <f>SUMIFS(Data!$K:$K,Data!$A:$A,$A16,Data!$C:$C,2013)</f>
        <v>40.92</v>
      </c>
      <c r="H16" s="2">
        <f>SUMIFS(Data!$K:$K,Data!$A:$A,$A16,Data!$C:$C,2024)</f>
        <v>38.32</v>
      </c>
      <c r="I16" s="2">
        <f t="shared" si="1"/>
        <v>-2.6</v>
      </c>
      <c r="J16" s="2" t="str">
        <f t="shared" si="2"/>
        <v>Medium Risk</v>
      </c>
      <c r="K16" s="2">
        <f t="shared" si="3"/>
        <v>41.61</v>
      </c>
      <c r="L16" s="2">
        <f t="shared" si="4"/>
        <v>-2.6</v>
      </c>
      <c r="M16" s="2">
        <f t="shared" si="5"/>
        <v>23</v>
      </c>
      <c r="N16" s="2" t="str">
        <f t="shared" si="6"/>
        <v/>
      </c>
      <c r="O16" s="2" t="str">
        <f t="shared" si="7"/>
        <v/>
      </c>
      <c r="P16" s="2">
        <f t="shared" si="8"/>
        <v>17980.73</v>
      </c>
      <c r="Q16" s="2">
        <f t="shared" si="9"/>
        <v>41.61</v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</row>
    <row r="17" ht="15.0" customHeight="1">
      <c r="A17" s="2" t="str">
        <f>CountryMeta!A17</f>
        <v>India</v>
      </c>
      <c r="B17" s="2" t="str">
        <f>CountryMeta!C17</f>
        <v>South Asia</v>
      </c>
      <c r="C17" s="2" t="str">
        <f>CountryMeta!D17</f>
        <v>Lower middle income</v>
      </c>
      <c r="D17" s="2" t="b">
        <f>AND(OR($B17=T1_Region,T1_Region="All Regions"),OR($C17=T1_Income,T1_Income="All Income Groups"))</f>
        <v>1</v>
      </c>
      <c r="E17" s="2">
        <f>SUMIFS(Data!$K:$K,Data!$A:$A,$A17,Data!$C:$C,T1_Year)</f>
        <v>50.5</v>
      </c>
      <c r="F17" s="2">
        <f>SUMIFS(Data!$M:$M,Data!$A:$A,$A17,Data!$C:$C,T1_Year)</f>
        <v>1584</v>
      </c>
      <c r="G17" s="2">
        <f>SUMIFS(Data!$K:$K,Data!$A:$A,$A17,Data!$C:$C,2013)</f>
        <v>52.96</v>
      </c>
      <c r="H17" s="2">
        <f>SUMIFS(Data!$K:$K,Data!$A:$A,$A17,Data!$C:$C,2024)</f>
        <v>49</v>
      </c>
      <c r="I17" s="2">
        <f t="shared" si="1"/>
        <v>-3.96</v>
      </c>
      <c r="J17" s="2" t="str">
        <f t="shared" si="2"/>
        <v>Medium Risk</v>
      </c>
      <c r="K17" s="2">
        <f t="shared" si="3"/>
        <v>50.5</v>
      </c>
      <c r="L17" s="2">
        <f t="shared" si="4"/>
        <v>-3.96</v>
      </c>
      <c r="M17" s="2">
        <f t="shared" si="5"/>
        <v>14</v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>
        <f t="shared" si="16"/>
        <v>1584</v>
      </c>
      <c r="Y17" s="2">
        <f t="shared" si="17"/>
        <v>50.5</v>
      </c>
      <c r="Z17" s="2" t="str">
        <f t="shared" si="18"/>
        <v/>
      </c>
      <c r="AA17" s="2" t="str">
        <f t="shared" si="19"/>
        <v/>
      </c>
    </row>
    <row r="18" ht="15.0" customHeight="1">
      <c r="A18" s="2" t="str">
        <f>CountryMeta!A18</f>
        <v>Indonesia</v>
      </c>
      <c r="B18" s="2" t="str">
        <f>CountryMeta!C18</f>
        <v>East Asia &amp; Pacific</v>
      </c>
      <c r="C18" s="2" t="str">
        <f>CountryMeta!D18</f>
        <v>Lower middle income</v>
      </c>
      <c r="D18" s="2" t="b">
        <f>AND(OR($B18=T1_Region,T1_Region="All Regions"),OR($C18=T1_Income,T1_Income="All Income Groups"))</f>
        <v>1</v>
      </c>
      <c r="E18" s="2">
        <f>SUMIFS(Data!$K:$K,Data!$A:$A,$A18,Data!$C:$C,T1_Year)</f>
        <v>50.74</v>
      </c>
      <c r="F18" s="2">
        <f>SUMIFS(Data!$M:$M,Data!$A:$A,$A18,Data!$C:$C,T1_Year)</f>
        <v>3288.22</v>
      </c>
      <c r="G18" s="2">
        <f>SUMIFS(Data!$K:$K,Data!$A:$A,$A18,Data!$C:$C,2013)</f>
        <v>51.93</v>
      </c>
      <c r="H18" s="2">
        <f>SUMIFS(Data!$K:$K,Data!$A:$A,$A18,Data!$C:$C,2024)</f>
        <v>49.36</v>
      </c>
      <c r="I18" s="2">
        <f t="shared" si="1"/>
        <v>-2.57</v>
      </c>
      <c r="J18" s="2" t="str">
        <f t="shared" si="2"/>
        <v>Medium Risk</v>
      </c>
      <c r="K18" s="2">
        <f t="shared" si="3"/>
        <v>50.74</v>
      </c>
      <c r="L18" s="2">
        <f t="shared" si="4"/>
        <v>-2.57</v>
      </c>
      <c r="M18" s="2">
        <f t="shared" si="5"/>
        <v>13</v>
      </c>
      <c r="N18" s="2">
        <f t="shared" si="6"/>
        <v>3288.22</v>
      </c>
      <c r="O18" s="2">
        <f t="shared" si="7"/>
        <v>50.74</v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</row>
    <row r="19" ht="15.0" customHeight="1">
      <c r="A19" s="2" t="str">
        <f>CountryMeta!A19</f>
        <v>Iran, Islamic Rep.</v>
      </c>
      <c r="B19" s="2" t="str">
        <f>CountryMeta!C19</f>
        <v>Middle East &amp; North Africa</v>
      </c>
      <c r="C19" s="2" t="str">
        <f>CountryMeta!D19</f>
        <v>Lower middle income</v>
      </c>
      <c r="D19" s="2" t="b">
        <f>AND(OR($B19=T1_Region,T1_Region="All Regions"),OR($C19=T1_Income,T1_Income="All Income Groups"))</f>
        <v>1</v>
      </c>
      <c r="E19" s="2">
        <f>SUMIFS(Data!$K:$K,Data!$A:$A,$A19,Data!$C:$C,T1_Year)</f>
        <v>59.31</v>
      </c>
      <c r="F19" s="2">
        <f>SUMIFS(Data!$M:$M,Data!$A:$A,$A19,Data!$C:$C,T1_Year)</f>
        <v>4952.73</v>
      </c>
      <c r="G19" s="2">
        <f>SUMIFS(Data!$K:$K,Data!$A:$A,$A19,Data!$C:$C,2013)</f>
        <v>63.89</v>
      </c>
      <c r="H19" s="2">
        <f>SUMIFS(Data!$K:$K,Data!$A:$A,$A19,Data!$C:$C,2024)</f>
        <v>67.44</v>
      </c>
      <c r="I19" s="2">
        <f t="shared" si="1"/>
        <v>3.55</v>
      </c>
      <c r="J19" s="2" t="str">
        <f t="shared" si="2"/>
        <v>Medium Risk</v>
      </c>
      <c r="K19" s="2">
        <f t="shared" si="3"/>
        <v>59.31</v>
      </c>
      <c r="L19" s="2">
        <f t="shared" si="4"/>
        <v>3.55</v>
      </c>
      <c r="M19" s="2">
        <f t="shared" si="5"/>
        <v>6</v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>
        <f t="shared" si="12"/>
        <v>4952.73</v>
      </c>
      <c r="U19" s="2">
        <f t="shared" si="13"/>
        <v>59.31</v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</row>
    <row r="20" ht="15.0" customHeight="1">
      <c r="A20" s="2" t="str">
        <f>CountryMeta!A20</f>
        <v>Italy</v>
      </c>
      <c r="B20" s="2" t="str">
        <f>CountryMeta!C20</f>
        <v>Europe &amp; Central Asia</v>
      </c>
      <c r="C20" s="2" t="str">
        <f>CountryMeta!D20</f>
        <v>High income</v>
      </c>
      <c r="D20" s="2" t="b">
        <f>AND(OR($B20=T1_Region,T1_Region="All Regions"),OR($C20=T1_Income,T1_Income="All Income Groups"))</f>
        <v>1</v>
      </c>
      <c r="E20" s="2">
        <f>SUMIFS(Data!$K:$K,Data!$A:$A,$A20,Data!$C:$C,T1_Year)</f>
        <v>37.28</v>
      </c>
      <c r="F20" s="2">
        <f>SUMIFS(Data!$M:$M,Data!$A:$A,$A20,Data!$C:$C,T1_Year)</f>
        <v>30639.88</v>
      </c>
      <c r="G20" s="2">
        <f>SUMIFS(Data!$K:$K,Data!$A:$A,$A20,Data!$C:$C,2013)</f>
        <v>37.54</v>
      </c>
      <c r="H20" s="2">
        <f>SUMIFS(Data!$K:$K,Data!$A:$A,$A20,Data!$C:$C,2024)</f>
        <v>34.3</v>
      </c>
      <c r="I20" s="2">
        <f t="shared" si="1"/>
        <v>-3.24</v>
      </c>
      <c r="J20" s="2" t="str">
        <f t="shared" si="2"/>
        <v>Low Risk</v>
      </c>
      <c r="K20" s="2">
        <f t="shared" si="3"/>
        <v>37.28</v>
      </c>
      <c r="L20" s="2">
        <f t="shared" si="4"/>
        <v>-3.24</v>
      </c>
      <c r="M20" s="2">
        <f t="shared" si="5"/>
        <v>24</v>
      </c>
      <c r="N20" s="2" t="str">
        <f t="shared" si="6"/>
        <v/>
      </c>
      <c r="O20" s="2" t="str">
        <f t="shared" si="7"/>
        <v/>
      </c>
      <c r="P20" s="2">
        <f t="shared" si="8"/>
        <v>30639.88</v>
      </c>
      <c r="Q20" s="2">
        <f t="shared" si="9"/>
        <v>37.28</v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</row>
    <row r="21" ht="15.0" customHeight="1">
      <c r="A21" s="2" t="str">
        <f>CountryMeta!A21</f>
        <v>Japan</v>
      </c>
      <c r="B21" s="2" t="str">
        <f>CountryMeta!C21</f>
        <v>East Asia &amp; Pacific</v>
      </c>
      <c r="C21" s="2" t="str">
        <f>CountryMeta!D21</f>
        <v>High income</v>
      </c>
      <c r="D21" s="2" t="b">
        <f>AND(OR($B21=T1_Region,T1_Region="All Regions"),OR($C21=T1_Income,T1_Income="All Income Groups"))</f>
        <v>1</v>
      </c>
      <c r="E21" s="2">
        <f>SUMIFS(Data!$K:$K,Data!$A:$A,$A21,Data!$C:$C,T1_Year)</f>
        <v>19.3</v>
      </c>
      <c r="F21" s="2">
        <f>SUMIFS(Data!$M:$M,Data!$A:$A,$A21,Data!$C:$C,T1_Year)</f>
        <v>35664.64</v>
      </c>
      <c r="G21" s="2">
        <f>SUMIFS(Data!$K:$K,Data!$A:$A,$A21,Data!$C:$C,2013)</f>
        <v>20.28</v>
      </c>
      <c r="H21" s="2">
        <f>SUMIFS(Data!$K:$K,Data!$A:$A,$A21,Data!$C:$C,2024)</f>
        <v>20.15</v>
      </c>
      <c r="I21" s="2">
        <f t="shared" si="1"/>
        <v>-0.13</v>
      </c>
      <c r="J21" s="2" t="str">
        <f t="shared" si="2"/>
        <v>Low Risk</v>
      </c>
      <c r="K21" s="2">
        <f t="shared" si="3"/>
        <v>19.3</v>
      </c>
      <c r="L21" s="2">
        <f t="shared" si="4"/>
        <v>-0.13</v>
      </c>
      <c r="M21" s="2">
        <f t="shared" si="5"/>
        <v>31</v>
      </c>
      <c r="N21" s="2">
        <f t="shared" si="6"/>
        <v>35664.64</v>
      </c>
      <c r="O21" s="2">
        <f t="shared" si="7"/>
        <v>19.3</v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</row>
    <row r="22" ht="15.0" customHeight="1">
      <c r="A22" s="2" t="str">
        <f>CountryMeta!A22</f>
        <v>Kazakhstan</v>
      </c>
      <c r="B22" s="2" t="str">
        <f>CountryMeta!C22</f>
        <v>Europe &amp; Central Asia</v>
      </c>
      <c r="C22" s="2" t="str">
        <f>CountryMeta!D22</f>
        <v>Upper middle income</v>
      </c>
      <c r="D22" s="2" t="b">
        <f>AND(OR($B22=T1_Region,T1_Region="All Regions"),OR($C22=T1_Income,T1_Income="All Income Groups"))</f>
        <v>1</v>
      </c>
      <c r="E22" s="2">
        <f>SUMIFS(Data!$K:$K,Data!$A:$A,$A22,Data!$C:$C,T1_Year)</f>
        <v>50.08</v>
      </c>
      <c r="F22" s="2">
        <f>SUMIFS(Data!$M:$M,Data!$A:$A,$A22,Data!$C:$C,T1_Year)</f>
        <v>10196.12</v>
      </c>
      <c r="G22" s="2">
        <f>SUMIFS(Data!$K:$K,Data!$A:$A,$A22,Data!$C:$C,2013)</f>
        <v>54.49</v>
      </c>
      <c r="H22" s="2">
        <f>SUMIFS(Data!$K:$K,Data!$A:$A,$A22,Data!$C:$C,2024)</f>
        <v>46.61</v>
      </c>
      <c r="I22" s="2">
        <f t="shared" si="1"/>
        <v>-7.88</v>
      </c>
      <c r="J22" s="2" t="str">
        <f t="shared" si="2"/>
        <v>Medium Risk</v>
      </c>
      <c r="K22" s="2">
        <f t="shared" si="3"/>
        <v>50.08</v>
      </c>
      <c r="L22" s="2">
        <f t="shared" si="4"/>
        <v>-7.88</v>
      </c>
      <c r="M22" s="2">
        <f t="shared" si="5"/>
        <v>16</v>
      </c>
      <c r="N22" s="2" t="str">
        <f t="shared" si="6"/>
        <v/>
      </c>
      <c r="O22" s="2" t="str">
        <f t="shared" si="7"/>
        <v/>
      </c>
      <c r="P22" s="2">
        <f t="shared" si="8"/>
        <v>10196.12</v>
      </c>
      <c r="Q22" s="2">
        <f t="shared" si="9"/>
        <v>50.08</v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</row>
    <row r="23" ht="15.0" customHeight="1">
      <c r="A23" s="2" t="str">
        <f>CountryMeta!A23</f>
        <v>Kenya</v>
      </c>
      <c r="B23" s="2" t="str">
        <f>CountryMeta!C23</f>
        <v>Sub-Saharan Africa</v>
      </c>
      <c r="C23" s="2" t="str">
        <f>CountryMeta!D23</f>
        <v>Lower middle income</v>
      </c>
      <c r="D23" s="2" t="b">
        <f>AND(OR($B23=T1_Region,T1_Region="All Regions"),OR($C23=T1_Income,T1_Income="All Income Groups"))</f>
        <v>1</v>
      </c>
      <c r="E23" s="2">
        <f>SUMIFS(Data!$K:$K,Data!$A:$A,$A23,Data!$C:$C,T1_Year)</f>
        <v>57.68</v>
      </c>
      <c r="F23" s="2">
        <f>SUMIFS(Data!$M:$M,Data!$A:$A,$A23,Data!$C:$C,T1_Year)</f>
        <v>1489.12</v>
      </c>
      <c r="G23" s="2">
        <f>SUMIFS(Data!$K:$K,Data!$A:$A,$A23,Data!$C:$C,2013)</f>
        <v>58.5</v>
      </c>
      <c r="H23" s="2">
        <f>SUMIFS(Data!$K:$K,Data!$A:$A,$A23,Data!$C:$C,2024)</f>
        <v>56.77</v>
      </c>
      <c r="I23" s="2">
        <f t="shared" si="1"/>
        <v>-1.73</v>
      </c>
      <c r="J23" s="2" t="str">
        <f t="shared" si="2"/>
        <v>Medium Risk</v>
      </c>
      <c r="K23" s="2">
        <f t="shared" si="3"/>
        <v>57.68</v>
      </c>
      <c r="L23" s="2">
        <f t="shared" si="4"/>
        <v>-1.73</v>
      </c>
      <c r="M23" s="2">
        <f t="shared" si="5"/>
        <v>8</v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>
        <f t="shared" si="18"/>
        <v>1489.12</v>
      </c>
      <c r="AA23" s="2">
        <f t="shared" si="19"/>
        <v>57.68</v>
      </c>
    </row>
    <row r="24" ht="15.0" customHeight="1">
      <c r="A24" s="2" t="str">
        <f>CountryMeta!A24</f>
        <v>Mexico</v>
      </c>
      <c r="B24" s="2" t="str">
        <f>CountryMeta!C24</f>
        <v>Latin America &amp; Caribbean</v>
      </c>
      <c r="C24" s="2" t="str">
        <f>CountryMeta!D24</f>
        <v>Upper middle income</v>
      </c>
      <c r="D24" s="2" t="b">
        <f>AND(OR($B24=T1_Region,T1_Region="All Regions"),OR($C24=T1_Income,T1_Income="All Income Groups"))</f>
        <v>1</v>
      </c>
      <c r="E24" s="2">
        <f>SUMIFS(Data!$K:$K,Data!$A:$A,$A24,Data!$C:$C,T1_Year)</f>
        <v>53.89</v>
      </c>
      <c r="F24" s="2">
        <f>SUMIFS(Data!$M:$M,Data!$A:$A,$A24,Data!$C:$C,T1_Year)</f>
        <v>10021.24</v>
      </c>
      <c r="G24" s="2">
        <f>SUMIFS(Data!$K:$K,Data!$A:$A,$A24,Data!$C:$C,2013)</f>
        <v>51.39</v>
      </c>
      <c r="H24" s="2">
        <f>SUMIFS(Data!$K:$K,Data!$A:$A,$A24,Data!$C:$C,2024)</f>
        <v>57.16</v>
      </c>
      <c r="I24" s="2">
        <f t="shared" si="1"/>
        <v>5.77</v>
      </c>
      <c r="J24" s="2" t="str">
        <f t="shared" si="2"/>
        <v>Medium Risk</v>
      </c>
      <c r="K24" s="2">
        <f t="shared" si="3"/>
        <v>53.89</v>
      </c>
      <c r="L24" s="2">
        <f t="shared" si="4"/>
        <v>5.77</v>
      </c>
      <c r="M24" s="2">
        <f t="shared" si="5"/>
        <v>10</v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>
        <f t="shared" si="10"/>
        <v>10021.24</v>
      </c>
      <c r="S24" s="2">
        <f t="shared" si="11"/>
        <v>53.89</v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</row>
    <row r="25" ht="15.0" customHeight="1">
      <c r="A25" s="2" t="str">
        <f>CountryMeta!A25</f>
        <v>Nigeria</v>
      </c>
      <c r="B25" s="2" t="str">
        <f>CountryMeta!C25</f>
        <v>Sub-Saharan Africa</v>
      </c>
      <c r="C25" s="2" t="str">
        <f>CountryMeta!D25</f>
        <v>Lower middle income</v>
      </c>
      <c r="D25" s="2" t="b">
        <f>AND(OR($B25=T1_Region,T1_Region="All Regions"),OR($C25=T1_Income,T1_Income="All Income Groups"))</f>
        <v>1</v>
      </c>
      <c r="E25" s="2">
        <f>SUMIFS(Data!$K:$K,Data!$A:$A,$A25,Data!$C:$C,T1_Year)</f>
        <v>63.66</v>
      </c>
      <c r="F25" s="2">
        <f>SUMIFS(Data!$M:$M,Data!$A:$A,$A25,Data!$C:$C,T1_Year)</f>
        <v>2585.73</v>
      </c>
      <c r="G25" s="2">
        <f>SUMIFS(Data!$K:$K,Data!$A:$A,$A25,Data!$C:$C,2013)</f>
        <v>66.12</v>
      </c>
      <c r="H25" s="2">
        <f>SUMIFS(Data!$K:$K,Data!$A:$A,$A25,Data!$C:$C,2024)</f>
        <v>64.63</v>
      </c>
      <c r="I25" s="2">
        <f t="shared" si="1"/>
        <v>-1.49</v>
      </c>
      <c r="J25" s="2" t="str">
        <f t="shared" si="2"/>
        <v>Medium Risk</v>
      </c>
      <c r="K25" s="2">
        <f t="shared" si="3"/>
        <v>63.66</v>
      </c>
      <c r="L25" s="2">
        <f t="shared" si="4"/>
        <v>-1.49</v>
      </c>
      <c r="M25" s="2">
        <f t="shared" si="5"/>
        <v>3</v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>
        <f t="shared" si="18"/>
        <v>2585.73</v>
      </c>
      <c r="AA25" s="2">
        <f t="shared" si="19"/>
        <v>63.66</v>
      </c>
    </row>
    <row r="26" ht="15.0" customHeight="1">
      <c r="A26" s="2" t="str">
        <f>CountryMeta!A26</f>
        <v>Pakistan</v>
      </c>
      <c r="B26" s="2" t="str">
        <f>CountryMeta!C26</f>
        <v>South Asia</v>
      </c>
      <c r="C26" s="2" t="str">
        <f>CountryMeta!D26</f>
        <v>Lower middle income</v>
      </c>
      <c r="D26" s="2" t="b">
        <f>AND(OR($B26=T1_Region,T1_Region="All Regions"),OR($C26=T1_Income,T1_Income="All Income Groups"))</f>
        <v>1</v>
      </c>
      <c r="E26" s="2">
        <f>SUMIFS(Data!$K:$K,Data!$A:$A,$A26,Data!$C:$C,T1_Year)</f>
        <v>65.59</v>
      </c>
      <c r="F26" s="2">
        <f>SUMIFS(Data!$M:$M,Data!$A:$A,$A26,Data!$C:$C,T1_Year)</f>
        <v>1380.47</v>
      </c>
      <c r="G26" s="2">
        <f>SUMIFS(Data!$K:$K,Data!$A:$A,$A26,Data!$C:$C,2013)</f>
        <v>68.4</v>
      </c>
      <c r="H26" s="2">
        <f>SUMIFS(Data!$K:$K,Data!$A:$A,$A26,Data!$C:$C,2024)</f>
        <v>65.31</v>
      </c>
      <c r="I26" s="2">
        <f t="shared" si="1"/>
        <v>-3.09</v>
      </c>
      <c r="J26" s="2" t="str">
        <f t="shared" si="2"/>
        <v>High Risk</v>
      </c>
      <c r="K26" s="2">
        <f t="shared" si="3"/>
        <v>65.59</v>
      </c>
      <c r="L26" s="2">
        <f t="shared" si="4"/>
        <v>-3.09</v>
      </c>
      <c r="M26" s="2">
        <f t="shared" si="5"/>
        <v>2</v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>
        <f t="shared" si="16"/>
        <v>1380.47</v>
      </c>
      <c r="Y26" s="2">
        <f t="shared" si="17"/>
        <v>65.59</v>
      </c>
      <c r="Z26" s="2" t="str">
        <f t="shared" si="18"/>
        <v/>
      </c>
      <c r="AA26" s="2" t="str">
        <f t="shared" si="19"/>
        <v/>
      </c>
    </row>
    <row r="27" ht="15.0" customHeight="1">
      <c r="A27" s="2" t="str">
        <f>CountryMeta!A27</f>
        <v>Philippines</v>
      </c>
      <c r="B27" s="2" t="str">
        <f>CountryMeta!C27</f>
        <v>East Asia &amp; Pacific</v>
      </c>
      <c r="C27" s="2" t="str">
        <f>CountryMeta!D27</f>
        <v>Lower middle income</v>
      </c>
      <c r="D27" s="2" t="b">
        <f>AND(OR($B27=T1_Region,T1_Region="All Regions"),OR($C27=T1_Income,T1_Income="All Income Groups"))</f>
        <v>1</v>
      </c>
      <c r="E27" s="2">
        <f>SUMIFS(Data!$K:$K,Data!$A:$A,$A27,Data!$C:$C,T1_Year)</f>
        <v>52.06</v>
      </c>
      <c r="F27" s="2">
        <f>SUMIFS(Data!$M:$M,Data!$A:$A,$A27,Data!$C:$C,T1_Year)</f>
        <v>2909.86</v>
      </c>
      <c r="G27" s="2">
        <f>SUMIFS(Data!$K:$K,Data!$A:$A,$A27,Data!$C:$C,2013)</f>
        <v>52.7</v>
      </c>
      <c r="H27" s="2">
        <f>SUMIFS(Data!$K:$K,Data!$A:$A,$A27,Data!$C:$C,2024)</f>
        <v>51.99</v>
      </c>
      <c r="I27" s="2">
        <f t="shared" si="1"/>
        <v>-0.71</v>
      </c>
      <c r="J27" s="2" t="str">
        <f t="shared" si="2"/>
        <v>Medium Risk</v>
      </c>
      <c r="K27" s="2">
        <f t="shared" si="3"/>
        <v>52.06</v>
      </c>
      <c r="L27" s="2">
        <f t="shared" si="4"/>
        <v>-0.71</v>
      </c>
      <c r="M27" s="2">
        <f t="shared" si="5"/>
        <v>12</v>
      </c>
      <c r="N27" s="2">
        <f t="shared" si="6"/>
        <v>2909.86</v>
      </c>
      <c r="O27" s="2">
        <f t="shared" si="7"/>
        <v>52.06</v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</row>
    <row r="28" ht="15.0" customHeight="1">
      <c r="A28" s="2" t="str">
        <f>CountryMeta!A28</f>
        <v>Poland</v>
      </c>
      <c r="B28" s="2" t="str">
        <f>CountryMeta!C28</f>
        <v>Europe &amp; Central Asia</v>
      </c>
      <c r="C28" s="2" t="str">
        <f>CountryMeta!D28</f>
        <v>High income</v>
      </c>
      <c r="D28" s="2" t="b">
        <f>AND(OR($B28=T1_Region,T1_Region="All Regions"),OR($C28=T1_Income,T1_Income="All Income Groups"))</f>
        <v>1</v>
      </c>
      <c r="E28" s="2">
        <f>SUMIFS(Data!$K:$K,Data!$A:$A,$A28,Data!$C:$C,T1_Year)</f>
        <v>28.04</v>
      </c>
      <c r="F28" s="2">
        <f>SUMIFS(Data!$M:$M,Data!$A:$A,$A28,Data!$C:$C,T1_Year)</f>
        <v>12637.52</v>
      </c>
      <c r="G28" s="2">
        <f>SUMIFS(Data!$K:$K,Data!$A:$A,$A28,Data!$C:$C,2013)</f>
        <v>28.39</v>
      </c>
      <c r="H28" s="2">
        <f>SUMIFS(Data!$K:$K,Data!$A:$A,$A28,Data!$C:$C,2024)</f>
        <v>32.27</v>
      </c>
      <c r="I28" s="2">
        <f t="shared" si="1"/>
        <v>3.88</v>
      </c>
      <c r="J28" s="2" t="str">
        <f t="shared" si="2"/>
        <v>Low Risk</v>
      </c>
      <c r="K28" s="2">
        <f t="shared" si="3"/>
        <v>28.04</v>
      </c>
      <c r="L28" s="2">
        <f t="shared" si="4"/>
        <v>3.88</v>
      </c>
      <c r="M28" s="2">
        <f t="shared" si="5"/>
        <v>27</v>
      </c>
      <c r="N28" s="2" t="str">
        <f t="shared" si="6"/>
        <v/>
      </c>
      <c r="O28" s="2" t="str">
        <f t="shared" si="7"/>
        <v/>
      </c>
      <c r="P28" s="2">
        <f t="shared" si="8"/>
        <v>12637.52</v>
      </c>
      <c r="Q28" s="2">
        <f t="shared" si="9"/>
        <v>28.04</v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</row>
    <row r="29" ht="15.0" customHeight="1">
      <c r="A29" s="2" t="str">
        <f>CountryMeta!A29</f>
        <v>Russian Federation</v>
      </c>
      <c r="B29" s="2" t="str">
        <f>CountryMeta!C29</f>
        <v>Europe &amp; Central Asia</v>
      </c>
      <c r="C29" s="2" t="str">
        <f>CountryMeta!D29</f>
        <v>Upper middle income</v>
      </c>
      <c r="D29" s="2" t="b">
        <f>AND(OR($B29=T1_Region,T1_Region="All Regions"),OR($C29=T1_Income,T1_Income="All Income Groups"))</f>
        <v>1</v>
      </c>
      <c r="E29" s="2">
        <f>SUMIFS(Data!$K:$K,Data!$A:$A,$A29,Data!$C:$C,T1_Year)</f>
        <v>57.55</v>
      </c>
      <c r="F29" s="2">
        <f>SUMIFS(Data!$M:$M,Data!$A:$A,$A29,Data!$C:$C,T1_Year)</f>
        <v>9277.71</v>
      </c>
      <c r="G29" s="2">
        <f>SUMIFS(Data!$K:$K,Data!$A:$A,$A29,Data!$C:$C,2013)</f>
        <v>57.75</v>
      </c>
      <c r="H29" s="2">
        <f>SUMIFS(Data!$K:$K,Data!$A:$A,$A29,Data!$C:$C,2024)</f>
        <v>61.16</v>
      </c>
      <c r="I29" s="2">
        <f t="shared" si="1"/>
        <v>3.41</v>
      </c>
      <c r="J29" s="2" t="str">
        <f t="shared" si="2"/>
        <v>Medium Risk</v>
      </c>
      <c r="K29" s="2">
        <f t="shared" si="3"/>
        <v>57.55</v>
      </c>
      <c r="L29" s="2">
        <f t="shared" si="4"/>
        <v>3.41</v>
      </c>
      <c r="M29" s="2">
        <f t="shared" si="5"/>
        <v>9</v>
      </c>
      <c r="N29" s="2" t="str">
        <f t="shared" si="6"/>
        <v/>
      </c>
      <c r="O29" s="2" t="str">
        <f t="shared" si="7"/>
        <v/>
      </c>
      <c r="P29" s="2">
        <f t="shared" si="8"/>
        <v>9277.71</v>
      </c>
      <c r="Q29" s="2">
        <f t="shared" si="9"/>
        <v>57.55</v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</row>
    <row r="30" ht="15.0" customHeight="1">
      <c r="A30" s="2" t="str">
        <f>CountryMeta!A30</f>
        <v>Saudi Arabia</v>
      </c>
      <c r="B30" s="2" t="str">
        <f>CountryMeta!C30</f>
        <v>Middle East &amp; North Africa</v>
      </c>
      <c r="C30" s="2" t="str">
        <f>CountryMeta!D30</f>
        <v>High income</v>
      </c>
      <c r="D30" s="2" t="b">
        <f>AND(OR($B30=T1_Region,T1_Region="All Regions"),OR($C30=T1_Income,T1_Income="All Income Groups"))</f>
        <v>1</v>
      </c>
      <c r="E30" s="2">
        <f>SUMIFS(Data!$K:$K,Data!$A:$A,$A30,Data!$C:$C,T1_Year)</f>
        <v>46.54</v>
      </c>
      <c r="F30" s="2">
        <f>SUMIFS(Data!$M:$M,Data!$A:$A,$A30,Data!$C:$C,T1_Year)</f>
        <v>23256.15</v>
      </c>
      <c r="G30" s="2">
        <f>SUMIFS(Data!$K:$K,Data!$A:$A,$A30,Data!$C:$C,2013)</f>
        <v>47.12</v>
      </c>
      <c r="H30" s="2">
        <f>SUMIFS(Data!$K:$K,Data!$A:$A,$A30,Data!$C:$C,2024)</f>
        <v>36.3</v>
      </c>
      <c r="I30" s="2">
        <f t="shared" si="1"/>
        <v>-10.82</v>
      </c>
      <c r="J30" s="2" t="str">
        <f t="shared" si="2"/>
        <v>Medium Risk</v>
      </c>
      <c r="K30" s="2">
        <f t="shared" si="3"/>
        <v>46.54</v>
      </c>
      <c r="L30" s="2">
        <f t="shared" si="4"/>
        <v>-10.82</v>
      </c>
      <c r="M30" s="2">
        <f t="shared" si="5"/>
        <v>20</v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>
        <f t="shared" si="12"/>
        <v>23256.15</v>
      </c>
      <c r="U30" s="2">
        <f t="shared" si="13"/>
        <v>46.54</v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</row>
    <row r="31" ht="15.0" customHeight="1">
      <c r="A31" s="2" t="str">
        <f>CountryMeta!A31</f>
        <v>South Africa</v>
      </c>
      <c r="B31" s="2" t="str">
        <f>CountryMeta!C31</f>
        <v>Sub-Saharan Africa</v>
      </c>
      <c r="C31" s="2" t="str">
        <f>CountryMeta!D31</f>
        <v>Upper middle income</v>
      </c>
      <c r="D31" s="2" t="b">
        <f>AND(OR($B31=T1_Region,T1_Region="All Regions"),OR($C31=T1_Income,T1_Income="All Income Groups"))</f>
        <v>1</v>
      </c>
      <c r="E31" s="2">
        <f>SUMIFS(Data!$K:$K,Data!$A:$A,$A31,Data!$C:$C,T1_Year)</f>
        <v>43.52</v>
      </c>
      <c r="F31" s="2">
        <f>SUMIFS(Data!$M:$M,Data!$A:$A,$A31,Data!$C:$C,T1_Year)</f>
        <v>6112.27</v>
      </c>
      <c r="G31" s="2">
        <f>SUMIFS(Data!$K:$K,Data!$A:$A,$A31,Data!$C:$C,2013)</f>
        <v>42.31</v>
      </c>
      <c r="H31" s="2">
        <f>SUMIFS(Data!$K:$K,Data!$A:$A,$A31,Data!$C:$C,2024)</f>
        <v>47.37</v>
      </c>
      <c r="I31" s="2">
        <f t="shared" si="1"/>
        <v>5.06</v>
      </c>
      <c r="J31" s="2" t="str">
        <f t="shared" si="2"/>
        <v>Medium Risk</v>
      </c>
      <c r="K31" s="2">
        <f t="shared" si="3"/>
        <v>43.52</v>
      </c>
      <c r="L31" s="2">
        <f t="shared" si="4"/>
        <v>5.06</v>
      </c>
      <c r="M31" s="2">
        <f t="shared" si="5"/>
        <v>22</v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>
        <f t="shared" si="18"/>
        <v>6112.27</v>
      </c>
      <c r="AA31" s="2">
        <f t="shared" si="19"/>
        <v>43.52</v>
      </c>
    </row>
    <row r="32" ht="15.0" customHeight="1">
      <c r="A32" s="2" t="str">
        <f>CountryMeta!A32</f>
        <v>Sri Lanka</v>
      </c>
      <c r="B32" s="2" t="str">
        <f>CountryMeta!C32</f>
        <v>South Asia</v>
      </c>
      <c r="C32" s="2" t="str">
        <f>CountryMeta!D32</f>
        <v>Lower middle income</v>
      </c>
      <c r="D32" s="2" t="b">
        <f>AND(OR($B32=T1_Region,T1_Region="All Regions"),OR($C32=T1_Income,T1_Income="All Income Groups"))</f>
        <v>1</v>
      </c>
      <c r="E32" s="2">
        <f>SUMIFS(Data!$K:$K,Data!$A:$A,$A32,Data!$C:$C,T1_Year)</f>
        <v>46.07</v>
      </c>
      <c r="F32" s="2">
        <f>SUMIFS(Data!$M:$M,Data!$A:$A,$A32,Data!$C:$C,T1_Year)</f>
        <v>4057.72</v>
      </c>
      <c r="G32" s="2">
        <f>SUMIFS(Data!$K:$K,Data!$A:$A,$A32,Data!$C:$C,2013)</f>
        <v>50.68</v>
      </c>
      <c r="H32" s="2">
        <f>SUMIFS(Data!$K:$K,Data!$A:$A,$A32,Data!$C:$C,2024)</f>
        <v>49.34</v>
      </c>
      <c r="I32" s="2">
        <f t="shared" si="1"/>
        <v>-1.34</v>
      </c>
      <c r="J32" s="2" t="str">
        <f t="shared" si="2"/>
        <v>Medium Risk</v>
      </c>
      <c r="K32" s="2">
        <f t="shared" si="3"/>
        <v>46.07</v>
      </c>
      <c r="L32" s="2">
        <f t="shared" si="4"/>
        <v>-1.34</v>
      </c>
      <c r="M32" s="2">
        <f t="shared" si="5"/>
        <v>21</v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>
        <f t="shared" si="16"/>
        <v>4057.72</v>
      </c>
      <c r="Y32" s="2">
        <f t="shared" si="17"/>
        <v>46.07</v>
      </c>
      <c r="Z32" s="2" t="str">
        <f t="shared" si="18"/>
        <v/>
      </c>
      <c r="AA32" s="2" t="str">
        <f t="shared" si="19"/>
        <v/>
      </c>
    </row>
    <row r="33" ht="15.0" customHeight="1">
      <c r="A33" s="2" t="str">
        <f>CountryMeta!A33</f>
        <v>Turkiye</v>
      </c>
      <c r="B33" s="2" t="str">
        <f>CountryMeta!C33</f>
        <v>Europe &amp; Central Asia</v>
      </c>
      <c r="C33" s="2" t="str">
        <f>CountryMeta!D33</f>
        <v>Upper middle income</v>
      </c>
      <c r="D33" s="2" t="b">
        <f>AND(OR($B33=T1_Region,T1_Region="All Regions"),OR($C33=T1_Income,T1_Income="All Income Groups"))</f>
        <v>1</v>
      </c>
      <c r="E33" s="2">
        <f>SUMIFS(Data!$K:$K,Data!$A:$A,$A33,Data!$C:$C,T1_Year)</f>
        <v>50.08</v>
      </c>
      <c r="F33" s="2">
        <f>SUMIFS(Data!$M:$M,Data!$A:$A,$A33,Data!$C:$C,T1_Year)</f>
        <v>11064.65</v>
      </c>
      <c r="G33" s="2">
        <f>SUMIFS(Data!$K:$K,Data!$A:$A,$A33,Data!$C:$C,2013)</f>
        <v>45.91</v>
      </c>
      <c r="H33" s="2">
        <f>SUMIFS(Data!$K:$K,Data!$A:$A,$A33,Data!$C:$C,2024)</f>
        <v>55.06</v>
      </c>
      <c r="I33" s="2">
        <f t="shared" si="1"/>
        <v>9.15</v>
      </c>
      <c r="J33" s="2" t="str">
        <f t="shared" si="2"/>
        <v>Medium Risk</v>
      </c>
      <c r="K33" s="2">
        <f t="shared" si="3"/>
        <v>50.08</v>
      </c>
      <c r="L33" s="2">
        <f t="shared" si="4"/>
        <v>9.15</v>
      </c>
      <c r="M33" s="2">
        <f t="shared" si="5"/>
        <v>16</v>
      </c>
      <c r="N33" s="2" t="str">
        <f t="shared" si="6"/>
        <v/>
      </c>
      <c r="O33" s="2" t="str">
        <f t="shared" si="7"/>
        <v/>
      </c>
      <c r="P33" s="2">
        <f t="shared" si="8"/>
        <v>11064.65</v>
      </c>
      <c r="Q33" s="2">
        <f t="shared" si="9"/>
        <v>50.08</v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</row>
    <row r="34" ht="15.0" customHeight="1">
      <c r="A34" s="2" t="str">
        <f>CountryMeta!A34</f>
        <v>United Arab Emirates</v>
      </c>
      <c r="B34" s="2" t="str">
        <f>CountryMeta!C34</f>
        <v>Middle East &amp; North Africa</v>
      </c>
      <c r="C34" s="2" t="str">
        <f>CountryMeta!D34</f>
        <v>High income</v>
      </c>
      <c r="D34" s="2" t="b">
        <f>AND(OR($B34=T1_Region,T1_Region="All Regions"),OR($C34=T1_Income,T1_Income="All Income Groups"))</f>
        <v>1</v>
      </c>
      <c r="E34" s="2">
        <f>SUMIFS(Data!$K:$K,Data!$A:$A,$A34,Data!$C:$C,T1_Year)</f>
        <v>29.21</v>
      </c>
      <c r="F34" s="2">
        <f>SUMIFS(Data!$M:$M,Data!$A:$A,$A34,Data!$C:$C,T1_Year)</f>
        <v>44910.35</v>
      </c>
      <c r="G34" s="2">
        <f>SUMIFS(Data!$K:$K,Data!$A:$A,$A34,Data!$C:$C,2013)</f>
        <v>28.79</v>
      </c>
      <c r="H34" s="2">
        <f>SUMIFS(Data!$K:$K,Data!$A:$A,$A34,Data!$C:$C,2024)</f>
        <v>27.74</v>
      </c>
      <c r="I34" s="2">
        <f t="shared" si="1"/>
        <v>-1.05</v>
      </c>
      <c r="J34" s="2" t="str">
        <f t="shared" si="2"/>
        <v>Low Risk</v>
      </c>
      <c r="K34" s="2">
        <f t="shared" si="3"/>
        <v>29.21</v>
      </c>
      <c r="L34" s="2">
        <f t="shared" si="4"/>
        <v>-1.05</v>
      </c>
      <c r="M34" s="2">
        <f t="shared" si="5"/>
        <v>26</v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>
        <f t="shared" si="12"/>
        <v>44910.35</v>
      </c>
      <c r="U34" s="2">
        <f t="shared" si="13"/>
        <v>29.21</v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</row>
    <row r="35" ht="15.0" customHeight="1">
      <c r="A35" s="2" t="str">
        <f>CountryMeta!A35</f>
        <v>United Kingdom</v>
      </c>
      <c r="B35" s="2" t="str">
        <f>CountryMeta!C35</f>
        <v>Europe &amp; Central Asia</v>
      </c>
      <c r="C35" s="2" t="str">
        <f>CountryMeta!D35</f>
        <v>High income</v>
      </c>
      <c r="D35" s="2" t="b">
        <f>AND(OR($B35=T1_Region,T1_Region="All Regions"),OR($C35=T1_Income,T1_Income="All Income Groups"))</f>
        <v>1</v>
      </c>
      <c r="E35" s="2">
        <f>SUMIFS(Data!$K:$K,Data!$A:$A,$A35,Data!$C:$C,T1_Year)</f>
        <v>18.64</v>
      </c>
      <c r="F35" s="2">
        <f>SUMIFS(Data!$M:$M,Data!$A:$A,$A35,Data!$C:$C,T1_Year)</f>
        <v>45256.04</v>
      </c>
      <c r="G35" s="2">
        <f>SUMIFS(Data!$K:$K,Data!$A:$A,$A35,Data!$C:$C,2013)</f>
        <v>20.72</v>
      </c>
      <c r="H35" s="2">
        <f>SUMIFS(Data!$K:$K,Data!$A:$A,$A35,Data!$C:$C,2024)</f>
        <v>23.44</v>
      </c>
      <c r="I35" s="2">
        <f t="shared" si="1"/>
        <v>2.72</v>
      </c>
      <c r="J35" s="2" t="str">
        <f t="shared" si="2"/>
        <v>Low Risk</v>
      </c>
      <c r="K35" s="2">
        <f t="shared" si="3"/>
        <v>18.64</v>
      </c>
      <c r="L35" s="2">
        <f t="shared" si="4"/>
        <v>2.72</v>
      </c>
      <c r="M35" s="2">
        <f t="shared" si="5"/>
        <v>32</v>
      </c>
      <c r="N35" s="2" t="str">
        <f t="shared" si="6"/>
        <v/>
      </c>
      <c r="O35" s="2" t="str">
        <f t="shared" si="7"/>
        <v/>
      </c>
      <c r="P35" s="2">
        <f t="shared" si="8"/>
        <v>45256.04</v>
      </c>
      <c r="Q35" s="2">
        <f t="shared" si="9"/>
        <v>18.64</v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</row>
    <row r="36" ht="15.0" customHeight="1">
      <c r="A36" s="2" t="str">
        <f>CountryMeta!A36</f>
        <v>United States</v>
      </c>
      <c r="B36" s="2" t="str">
        <f>CountryMeta!C36</f>
        <v>North America</v>
      </c>
      <c r="C36" s="2" t="str">
        <f>CountryMeta!D36</f>
        <v>High income</v>
      </c>
      <c r="D36" s="2" t="b">
        <f>AND(OR($B36=T1_Region,T1_Region="All Regions"),OR($C36=T1_Income,T1_Income="All Income Groups"))</f>
        <v>1</v>
      </c>
      <c r="E36" s="2">
        <f>SUMIFS(Data!$K:$K,Data!$A:$A,$A36,Data!$C:$C,T1_Year)</f>
        <v>23.48</v>
      </c>
      <c r="F36" s="2">
        <f>SUMIFS(Data!$M:$M,Data!$A:$A,$A36,Data!$C:$C,T1_Year)</f>
        <v>56849.47</v>
      </c>
      <c r="G36" s="2">
        <f>SUMIFS(Data!$K:$K,Data!$A:$A,$A36,Data!$C:$C,2013)</f>
        <v>24.07</v>
      </c>
      <c r="H36" s="2">
        <f>SUMIFS(Data!$K:$K,Data!$A:$A,$A36,Data!$C:$C,2024)</f>
        <v>29.04</v>
      </c>
      <c r="I36" s="2">
        <f t="shared" si="1"/>
        <v>4.97</v>
      </c>
      <c r="J36" s="2" t="str">
        <f t="shared" si="2"/>
        <v>Low Risk</v>
      </c>
      <c r="K36" s="2">
        <f t="shared" si="3"/>
        <v>23.48</v>
      </c>
      <c r="L36" s="2">
        <f t="shared" si="4"/>
        <v>4.97</v>
      </c>
      <c r="M36" s="2">
        <f t="shared" si="5"/>
        <v>30</v>
      </c>
      <c r="N36" s="2" t="str">
        <f t="shared" si="6"/>
        <v/>
      </c>
      <c r="O36" s="2" t="str">
        <f t="shared" si="7"/>
        <v/>
      </c>
      <c r="P36" s="2" t="str">
        <f t="shared" si="8"/>
        <v/>
      </c>
      <c r="Q36" s="2" t="str">
        <f t="shared" si="9"/>
        <v/>
      </c>
      <c r="R36" s="2" t="str">
        <f t="shared" si="10"/>
        <v/>
      </c>
      <c r="S36" s="2" t="str">
        <f t="shared" si="11"/>
        <v/>
      </c>
      <c r="T36" s="2" t="str">
        <f t="shared" si="12"/>
        <v/>
      </c>
      <c r="U36" s="2" t="str">
        <f t="shared" si="13"/>
        <v/>
      </c>
      <c r="V36" s="2">
        <f t="shared" si="14"/>
        <v>56849.47</v>
      </c>
      <c r="W36" s="2">
        <f t="shared" si="15"/>
        <v>23.48</v>
      </c>
      <c r="X36" s="2" t="str">
        <f t="shared" si="16"/>
        <v/>
      </c>
      <c r="Y36" s="2" t="str">
        <f t="shared" si="17"/>
        <v/>
      </c>
      <c r="Z36" s="2" t="str">
        <f t="shared" si="18"/>
        <v/>
      </c>
      <c r="AA36" s="2" t="str">
        <f t="shared" si="19"/>
        <v/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5.0" customHeight="1">
      <c r="A1" s="1" t="s">
        <v>137</v>
      </c>
      <c r="B1" s="1" t="s">
        <v>2</v>
      </c>
      <c r="C1" s="1" t="s">
        <v>176</v>
      </c>
      <c r="D1" s="1" t="s">
        <v>159</v>
      </c>
      <c r="E1" s="1" t="s">
        <v>177</v>
      </c>
      <c r="G1" s="22" t="s">
        <v>178</v>
      </c>
      <c r="H1" s="22" t="str">
        <f t="array" ref="H1">INDEX($B$2:$B$36,MATCH(T2_Country,$A$2:$A$36,0))</f>
        <v>East Asia &amp; Pacific</v>
      </c>
    </row>
    <row r="2" ht="15.0" customHeight="1">
      <c r="A2" s="2" t="str">
        <f>CountryMeta!A2</f>
        <v>Argentina</v>
      </c>
      <c r="B2" s="2" t="str">
        <f>CountryMeta!C2</f>
        <v>Latin America &amp; Caribbean</v>
      </c>
      <c r="C2" s="2">
        <f>SUMIFS(Data!$K:$K,Data!$A:$A,$A2,Data!$C:$C,T2_EndYear)</f>
        <v>47.99</v>
      </c>
      <c r="D2" s="2" t="str">
        <f t="shared" ref="D2:D36" si="1">IF($B2=$H$1,$C2,"")</f>
        <v/>
      </c>
      <c r="E2" s="2" t="str">
        <f t="shared" ref="E2:E36" si="2">IFERROR(RANK($D2,$D$2:$D$36,0),"")</f>
        <v/>
      </c>
    </row>
    <row r="3" ht="15.0" customHeight="1">
      <c r="A3" s="2" t="str">
        <f>CountryMeta!A3</f>
        <v>Australia</v>
      </c>
      <c r="B3" s="2" t="str">
        <f>CountryMeta!C3</f>
        <v>East Asia &amp; Pacific</v>
      </c>
      <c r="C3" s="2">
        <f>SUMIFS(Data!$K:$K,Data!$A:$A,$A3,Data!$C:$C,T2_EndYear)</f>
        <v>17.73</v>
      </c>
      <c r="D3" s="2">
        <f t="shared" si="1"/>
        <v>17.73</v>
      </c>
      <c r="E3" s="2">
        <f t="shared" si="2"/>
        <v>5</v>
      </c>
    </row>
    <row r="4" ht="15.0" customHeight="1">
      <c r="A4" s="2" t="str">
        <f>CountryMeta!A4</f>
        <v>Bangladesh</v>
      </c>
      <c r="B4" s="2" t="str">
        <f>CountryMeta!C4</f>
        <v>South Asia</v>
      </c>
      <c r="C4" s="2">
        <f>SUMIFS(Data!$K:$K,Data!$A:$A,$A4,Data!$C:$C,T2_EndYear)</f>
        <v>63.31</v>
      </c>
      <c r="D4" s="2" t="str">
        <f t="shared" si="1"/>
        <v/>
      </c>
      <c r="E4" s="2" t="str">
        <f t="shared" si="2"/>
        <v/>
      </c>
    </row>
    <row r="5" ht="15.0" customHeight="1">
      <c r="A5" s="2" t="str">
        <f>CountryMeta!A5</f>
        <v>Brazil</v>
      </c>
      <c r="B5" s="2" t="str">
        <f>CountryMeta!C5</f>
        <v>Latin America &amp; Caribbean</v>
      </c>
      <c r="C5" s="2">
        <f>SUMIFS(Data!$K:$K,Data!$A:$A,$A5,Data!$C:$C,T2_EndYear)</f>
        <v>50.98</v>
      </c>
      <c r="D5" s="2" t="str">
        <f t="shared" si="1"/>
        <v/>
      </c>
      <c r="E5" s="2" t="str">
        <f t="shared" si="2"/>
        <v/>
      </c>
    </row>
    <row r="6" ht="15.0" customHeight="1">
      <c r="A6" s="2" t="str">
        <f>CountryMeta!A6</f>
        <v>Canada</v>
      </c>
      <c r="B6" s="2" t="str">
        <f>CountryMeta!C6</f>
        <v>North America</v>
      </c>
      <c r="C6" s="2">
        <f>SUMIFS(Data!$K:$K,Data!$A:$A,$A6,Data!$C:$C,T2_EndYear)</f>
        <v>21.14</v>
      </c>
      <c r="D6" s="2" t="str">
        <f t="shared" si="1"/>
        <v/>
      </c>
      <c r="E6" s="2" t="str">
        <f t="shared" si="2"/>
        <v/>
      </c>
    </row>
    <row r="7" ht="15.0" customHeight="1">
      <c r="A7" s="2" t="str">
        <f>CountryMeta!A7</f>
        <v>Chile</v>
      </c>
      <c r="B7" s="2" t="str">
        <f>CountryMeta!C7</f>
        <v>Latin America &amp; Caribbean</v>
      </c>
      <c r="C7" s="2">
        <f>SUMIFS(Data!$K:$K,Data!$A:$A,$A7,Data!$C:$C,T2_EndYear)</f>
        <v>31.44</v>
      </c>
      <c r="D7" s="2" t="str">
        <f t="shared" si="1"/>
        <v/>
      </c>
      <c r="E7" s="2" t="str">
        <f t="shared" si="2"/>
        <v/>
      </c>
    </row>
    <row r="8" ht="15.0" customHeight="1">
      <c r="A8" s="2" t="str">
        <f>CountryMeta!A8</f>
        <v>China</v>
      </c>
      <c r="B8" s="2" t="str">
        <f>CountryMeta!C8</f>
        <v>East Asia &amp; Pacific</v>
      </c>
      <c r="C8" s="2">
        <f>SUMIFS(Data!$K:$K,Data!$A:$A,$A8,Data!$C:$C,T2_EndYear)</f>
        <v>46.59</v>
      </c>
      <c r="D8" s="2">
        <f t="shared" si="1"/>
        <v>46.59</v>
      </c>
      <c r="E8" s="2">
        <f t="shared" si="2"/>
        <v>3</v>
      </c>
    </row>
    <row r="9" ht="15.0" customHeight="1">
      <c r="A9" s="2" t="str">
        <f>CountryMeta!A9</f>
        <v>Colombia</v>
      </c>
      <c r="B9" s="2" t="str">
        <f>CountryMeta!C9</f>
        <v>Latin America &amp; Caribbean</v>
      </c>
      <c r="C9" s="2">
        <f>SUMIFS(Data!$K:$K,Data!$A:$A,$A9,Data!$C:$C,T2_EndYear)</f>
        <v>51.59</v>
      </c>
      <c r="D9" s="2" t="str">
        <f t="shared" si="1"/>
        <v/>
      </c>
      <c r="E9" s="2" t="str">
        <f t="shared" si="2"/>
        <v/>
      </c>
    </row>
    <row r="10" ht="15.0" customHeight="1">
      <c r="A10" s="2" t="str">
        <f>CountryMeta!A10</f>
        <v>Congo, Dem. Rep.</v>
      </c>
      <c r="B10" s="2" t="str">
        <f>CountryMeta!C10</f>
        <v>Sub-Saharan Africa</v>
      </c>
      <c r="C10" s="2">
        <f>SUMIFS(Data!$K:$K,Data!$A:$A,$A10,Data!$C:$C,T2_EndYear)</f>
        <v>72.39</v>
      </c>
      <c r="D10" s="2" t="str">
        <f t="shared" si="1"/>
        <v/>
      </c>
      <c r="E10" s="2" t="str">
        <f t="shared" si="2"/>
        <v/>
      </c>
    </row>
    <row r="11" ht="15.0" customHeight="1">
      <c r="A11" s="2" t="str">
        <f>CountryMeta!A11</f>
        <v>Egypt, Arab Rep.</v>
      </c>
      <c r="B11" s="2" t="str">
        <f>CountryMeta!C11</f>
        <v>Middle East &amp; North Africa</v>
      </c>
      <c r="C11" s="2">
        <f>SUMIFS(Data!$K:$K,Data!$A:$A,$A11,Data!$C:$C,T2_EndYear)</f>
        <v>57.17</v>
      </c>
      <c r="D11" s="2" t="str">
        <f t="shared" si="1"/>
        <v/>
      </c>
      <c r="E11" s="2" t="str">
        <f t="shared" si="2"/>
        <v/>
      </c>
    </row>
    <row r="12" ht="15.0" customHeight="1">
      <c r="A12" s="2" t="str">
        <f>CountryMeta!A12</f>
        <v>Ethiopia</v>
      </c>
      <c r="B12" s="2" t="str">
        <f>CountryMeta!C12</f>
        <v>Sub-Saharan Africa</v>
      </c>
      <c r="C12" s="2">
        <f>SUMIFS(Data!$K:$K,Data!$A:$A,$A12,Data!$C:$C,T2_EndYear)</f>
        <v>61.67</v>
      </c>
      <c r="D12" s="2" t="str">
        <f t="shared" si="1"/>
        <v/>
      </c>
      <c r="E12" s="2" t="str">
        <f t="shared" si="2"/>
        <v/>
      </c>
    </row>
    <row r="13" ht="15.0" customHeight="1">
      <c r="A13" s="2" t="str">
        <f>CountryMeta!A13</f>
        <v>France</v>
      </c>
      <c r="B13" s="2" t="str">
        <f>CountryMeta!C13</f>
        <v>Europe &amp; Central Asia</v>
      </c>
      <c r="C13" s="2">
        <f>SUMIFS(Data!$K:$K,Data!$A:$A,$A13,Data!$C:$C,T2_EndYear)</f>
        <v>29.74</v>
      </c>
      <c r="D13" s="2" t="str">
        <f t="shared" si="1"/>
        <v/>
      </c>
      <c r="E13" s="2" t="str">
        <f t="shared" si="2"/>
        <v/>
      </c>
    </row>
    <row r="14" ht="15.0" customHeight="1">
      <c r="A14" s="2" t="str">
        <f>CountryMeta!A14</f>
        <v>Georgia</v>
      </c>
      <c r="B14" s="2" t="str">
        <f>CountryMeta!C14</f>
        <v>Europe &amp; Central Asia</v>
      </c>
      <c r="C14" s="2">
        <f>SUMIFS(Data!$K:$K,Data!$A:$A,$A14,Data!$C:$C,T2_EndYear)</f>
        <v>41.09</v>
      </c>
      <c r="D14" s="2" t="str">
        <f t="shared" si="1"/>
        <v/>
      </c>
      <c r="E14" s="2" t="str">
        <f t="shared" si="2"/>
        <v/>
      </c>
    </row>
    <row r="15" ht="15.0" customHeight="1">
      <c r="A15" s="2" t="str">
        <f>CountryMeta!A15</f>
        <v>Germany</v>
      </c>
      <c r="B15" s="2" t="str">
        <f>CountryMeta!C15</f>
        <v>Europe &amp; Central Asia</v>
      </c>
      <c r="C15" s="2">
        <f>SUMIFS(Data!$K:$K,Data!$A:$A,$A15,Data!$C:$C,T2_EndYear)</f>
        <v>21.2</v>
      </c>
      <c r="D15" s="2" t="str">
        <f t="shared" si="1"/>
        <v/>
      </c>
      <c r="E15" s="2" t="str">
        <f t="shared" si="2"/>
        <v/>
      </c>
    </row>
    <row r="16" ht="15.0" customHeight="1">
      <c r="A16" s="2" t="str">
        <f>CountryMeta!A16</f>
        <v>Greece</v>
      </c>
      <c r="B16" s="2" t="str">
        <f>CountryMeta!C16</f>
        <v>Europe &amp; Central Asia</v>
      </c>
      <c r="C16" s="2">
        <f>SUMIFS(Data!$K:$K,Data!$A:$A,$A16,Data!$C:$C,T2_EndYear)</f>
        <v>38.32</v>
      </c>
      <c r="D16" s="2" t="str">
        <f t="shared" si="1"/>
        <v/>
      </c>
      <c r="E16" s="2" t="str">
        <f t="shared" si="2"/>
        <v/>
      </c>
    </row>
    <row r="17" ht="15.0" customHeight="1">
      <c r="A17" s="2" t="str">
        <f>CountryMeta!A17</f>
        <v>India</v>
      </c>
      <c r="B17" s="2" t="str">
        <f>CountryMeta!C17</f>
        <v>South Asia</v>
      </c>
      <c r="C17" s="2">
        <f>SUMIFS(Data!$K:$K,Data!$A:$A,$A17,Data!$C:$C,T2_EndYear)</f>
        <v>49</v>
      </c>
      <c r="D17" s="2" t="str">
        <f t="shared" si="1"/>
        <v/>
      </c>
      <c r="E17" s="2" t="str">
        <f t="shared" si="2"/>
        <v/>
      </c>
    </row>
    <row r="18" ht="15.0" customHeight="1">
      <c r="A18" s="2" t="str">
        <f>CountryMeta!A18</f>
        <v>Indonesia</v>
      </c>
      <c r="B18" s="2" t="str">
        <f>CountryMeta!C18</f>
        <v>East Asia &amp; Pacific</v>
      </c>
      <c r="C18" s="2">
        <f>SUMIFS(Data!$K:$K,Data!$A:$A,$A18,Data!$C:$C,T2_EndYear)</f>
        <v>49.36</v>
      </c>
      <c r="D18" s="2">
        <f t="shared" si="1"/>
        <v>49.36</v>
      </c>
      <c r="E18" s="2">
        <f t="shared" si="2"/>
        <v>2</v>
      </c>
    </row>
    <row r="19" ht="15.0" customHeight="1">
      <c r="A19" s="2" t="str">
        <f>CountryMeta!A19</f>
        <v>Iran, Islamic Rep.</v>
      </c>
      <c r="B19" s="2" t="str">
        <f>CountryMeta!C19</f>
        <v>Middle East &amp; North Africa</v>
      </c>
      <c r="C19" s="2">
        <f>SUMIFS(Data!$K:$K,Data!$A:$A,$A19,Data!$C:$C,T2_EndYear)</f>
        <v>67.44</v>
      </c>
      <c r="D19" s="2" t="str">
        <f t="shared" si="1"/>
        <v/>
      </c>
      <c r="E19" s="2" t="str">
        <f t="shared" si="2"/>
        <v/>
      </c>
    </row>
    <row r="20" ht="15.0" customHeight="1">
      <c r="A20" s="2" t="str">
        <f>CountryMeta!A20</f>
        <v>Italy</v>
      </c>
      <c r="B20" s="2" t="str">
        <f>CountryMeta!C20</f>
        <v>Europe &amp; Central Asia</v>
      </c>
      <c r="C20" s="2">
        <f>SUMIFS(Data!$K:$K,Data!$A:$A,$A20,Data!$C:$C,T2_EndYear)</f>
        <v>34.3</v>
      </c>
      <c r="D20" s="2" t="str">
        <f t="shared" si="1"/>
        <v/>
      </c>
      <c r="E20" s="2" t="str">
        <f t="shared" si="2"/>
        <v/>
      </c>
    </row>
    <row r="21" ht="15.0" customHeight="1">
      <c r="A21" s="2" t="str">
        <f>CountryMeta!A21</f>
        <v>Japan</v>
      </c>
      <c r="B21" s="2" t="str">
        <f>CountryMeta!C21</f>
        <v>East Asia &amp; Pacific</v>
      </c>
      <c r="C21" s="2">
        <f>SUMIFS(Data!$K:$K,Data!$A:$A,$A21,Data!$C:$C,T2_EndYear)</f>
        <v>20.15</v>
      </c>
      <c r="D21" s="2">
        <f t="shared" si="1"/>
        <v>20.15</v>
      </c>
      <c r="E21" s="2">
        <f t="shared" si="2"/>
        <v>4</v>
      </c>
    </row>
    <row r="22" ht="15.0" customHeight="1">
      <c r="A22" s="2" t="str">
        <f>CountryMeta!A22</f>
        <v>Kazakhstan</v>
      </c>
      <c r="B22" s="2" t="str">
        <f>CountryMeta!C22</f>
        <v>Europe &amp; Central Asia</v>
      </c>
      <c r="C22" s="2">
        <f>SUMIFS(Data!$K:$K,Data!$A:$A,$A22,Data!$C:$C,T2_EndYear)</f>
        <v>46.61</v>
      </c>
      <c r="D22" s="2" t="str">
        <f t="shared" si="1"/>
        <v/>
      </c>
      <c r="E22" s="2" t="str">
        <f t="shared" si="2"/>
        <v/>
      </c>
    </row>
    <row r="23" ht="15.0" customHeight="1">
      <c r="A23" s="2" t="str">
        <f>CountryMeta!A23</f>
        <v>Kenya</v>
      </c>
      <c r="B23" s="2" t="str">
        <f>CountryMeta!C23</f>
        <v>Sub-Saharan Africa</v>
      </c>
      <c r="C23" s="2">
        <f>SUMIFS(Data!$K:$K,Data!$A:$A,$A23,Data!$C:$C,T2_EndYear)</f>
        <v>56.77</v>
      </c>
      <c r="D23" s="2" t="str">
        <f t="shared" si="1"/>
        <v/>
      </c>
      <c r="E23" s="2" t="str">
        <f t="shared" si="2"/>
        <v/>
      </c>
    </row>
    <row r="24" ht="15.0" customHeight="1">
      <c r="A24" s="2" t="str">
        <f>CountryMeta!A24</f>
        <v>Mexico</v>
      </c>
      <c r="B24" s="2" t="str">
        <f>CountryMeta!C24</f>
        <v>Latin America &amp; Caribbean</v>
      </c>
      <c r="C24" s="2">
        <f>SUMIFS(Data!$K:$K,Data!$A:$A,$A24,Data!$C:$C,T2_EndYear)</f>
        <v>57.16</v>
      </c>
      <c r="D24" s="2" t="str">
        <f t="shared" si="1"/>
        <v/>
      </c>
      <c r="E24" s="2" t="str">
        <f t="shared" si="2"/>
        <v/>
      </c>
    </row>
    <row r="25" ht="15.0" customHeight="1">
      <c r="A25" s="2" t="str">
        <f>CountryMeta!A25</f>
        <v>Nigeria</v>
      </c>
      <c r="B25" s="2" t="str">
        <f>CountryMeta!C25</f>
        <v>Sub-Saharan Africa</v>
      </c>
      <c r="C25" s="2">
        <f>SUMIFS(Data!$K:$K,Data!$A:$A,$A25,Data!$C:$C,T2_EndYear)</f>
        <v>64.63</v>
      </c>
      <c r="D25" s="2" t="str">
        <f t="shared" si="1"/>
        <v/>
      </c>
      <c r="E25" s="2" t="str">
        <f t="shared" si="2"/>
        <v/>
      </c>
    </row>
    <row r="26" ht="15.0" customHeight="1">
      <c r="A26" s="2" t="str">
        <f>CountryMeta!A26</f>
        <v>Pakistan</v>
      </c>
      <c r="B26" s="2" t="str">
        <f>CountryMeta!C26</f>
        <v>South Asia</v>
      </c>
      <c r="C26" s="2">
        <f>SUMIFS(Data!$K:$K,Data!$A:$A,$A26,Data!$C:$C,T2_EndYear)</f>
        <v>65.31</v>
      </c>
      <c r="D26" s="2" t="str">
        <f t="shared" si="1"/>
        <v/>
      </c>
      <c r="E26" s="2" t="str">
        <f t="shared" si="2"/>
        <v/>
      </c>
    </row>
    <row r="27" ht="15.0" customHeight="1">
      <c r="A27" s="2" t="str">
        <f>CountryMeta!A27</f>
        <v>Philippines</v>
      </c>
      <c r="B27" s="2" t="str">
        <f>CountryMeta!C27</f>
        <v>East Asia &amp; Pacific</v>
      </c>
      <c r="C27" s="2">
        <f>SUMIFS(Data!$K:$K,Data!$A:$A,$A27,Data!$C:$C,T2_EndYear)</f>
        <v>51.99</v>
      </c>
      <c r="D27" s="2">
        <f t="shared" si="1"/>
        <v>51.99</v>
      </c>
      <c r="E27" s="2">
        <f t="shared" si="2"/>
        <v>1</v>
      </c>
    </row>
    <row r="28" ht="15.0" customHeight="1">
      <c r="A28" s="2" t="str">
        <f>CountryMeta!A28</f>
        <v>Poland</v>
      </c>
      <c r="B28" s="2" t="str">
        <f>CountryMeta!C28</f>
        <v>Europe &amp; Central Asia</v>
      </c>
      <c r="C28" s="2">
        <f>SUMIFS(Data!$K:$K,Data!$A:$A,$A28,Data!$C:$C,T2_EndYear)</f>
        <v>32.27</v>
      </c>
      <c r="D28" s="2" t="str">
        <f t="shared" si="1"/>
        <v/>
      </c>
      <c r="E28" s="2" t="str">
        <f t="shared" si="2"/>
        <v/>
      </c>
    </row>
    <row r="29" ht="15.0" customHeight="1">
      <c r="A29" s="2" t="str">
        <f>CountryMeta!A29</f>
        <v>Russian Federation</v>
      </c>
      <c r="B29" s="2" t="str">
        <f>CountryMeta!C29</f>
        <v>Europe &amp; Central Asia</v>
      </c>
      <c r="C29" s="2">
        <f>SUMIFS(Data!$K:$K,Data!$A:$A,$A29,Data!$C:$C,T2_EndYear)</f>
        <v>61.16</v>
      </c>
      <c r="D29" s="2" t="str">
        <f t="shared" si="1"/>
        <v/>
      </c>
      <c r="E29" s="2" t="str">
        <f t="shared" si="2"/>
        <v/>
      </c>
    </row>
    <row r="30" ht="15.0" customHeight="1">
      <c r="A30" s="2" t="str">
        <f>CountryMeta!A30</f>
        <v>Saudi Arabia</v>
      </c>
      <c r="B30" s="2" t="str">
        <f>CountryMeta!C30</f>
        <v>Middle East &amp; North Africa</v>
      </c>
      <c r="C30" s="2">
        <f>SUMIFS(Data!$K:$K,Data!$A:$A,$A30,Data!$C:$C,T2_EndYear)</f>
        <v>36.3</v>
      </c>
      <c r="D30" s="2" t="str">
        <f t="shared" si="1"/>
        <v/>
      </c>
      <c r="E30" s="2" t="str">
        <f t="shared" si="2"/>
        <v/>
      </c>
    </row>
    <row r="31" ht="15.0" customHeight="1">
      <c r="A31" s="2" t="str">
        <f>CountryMeta!A31</f>
        <v>South Africa</v>
      </c>
      <c r="B31" s="2" t="str">
        <f>CountryMeta!C31</f>
        <v>Sub-Saharan Africa</v>
      </c>
      <c r="C31" s="2">
        <f>SUMIFS(Data!$K:$K,Data!$A:$A,$A31,Data!$C:$C,T2_EndYear)</f>
        <v>47.37</v>
      </c>
      <c r="D31" s="2" t="str">
        <f t="shared" si="1"/>
        <v/>
      </c>
      <c r="E31" s="2" t="str">
        <f t="shared" si="2"/>
        <v/>
      </c>
    </row>
    <row r="32" ht="15.0" customHeight="1">
      <c r="A32" s="2" t="str">
        <f>CountryMeta!A32</f>
        <v>Sri Lanka</v>
      </c>
      <c r="B32" s="2" t="str">
        <f>CountryMeta!C32</f>
        <v>South Asia</v>
      </c>
      <c r="C32" s="2">
        <f>SUMIFS(Data!$K:$K,Data!$A:$A,$A32,Data!$C:$C,T2_EndYear)</f>
        <v>49.34</v>
      </c>
      <c r="D32" s="2" t="str">
        <f t="shared" si="1"/>
        <v/>
      </c>
      <c r="E32" s="2" t="str">
        <f t="shared" si="2"/>
        <v/>
      </c>
    </row>
    <row r="33" ht="15.0" customHeight="1">
      <c r="A33" s="2" t="str">
        <f>CountryMeta!A33</f>
        <v>Turkiye</v>
      </c>
      <c r="B33" s="2" t="str">
        <f>CountryMeta!C33</f>
        <v>Europe &amp; Central Asia</v>
      </c>
      <c r="C33" s="2">
        <f>SUMIFS(Data!$K:$K,Data!$A:$A,$A33,Data!$C:$C,T2_EndYear)</f>
        <v>55.06</v>
      </c>
      <c r="D33" s="2" t="str">
        <f t="shared" si="1"/>
        <v/>
      </c>
      <c r="E33" s="2" t="str">
        <f t="shared" si="2"/>
        <v/>
      </c>
    </row>
    <row r="34" ht="15.0" customHeight="1">
      <c r="A34" s="2" t="str">
        <f>CountryMeta!A34</f>
        <v>United Arab Emirates</v>
      </c>
      <c r="B34" s="2" t="str">
        <f>CountryMeta!C34</f>
        <v>Middle East &amp; North Africa</v>
      </c>
      <c r="C34" s="2">
        <f>SUMIFS(Data!$K:$K,Data!$A:$A,$A34,Data!$C:$C,T2_EndYear)</f>
        <v>27.74</v>
      </c>
      <c r="D34" s="2" t="str">
        <f t="shared" si="1"/>
        <v/>
      </c>
      <c r="E34" s="2" t="str">
        <f t="shared" si="2"/>
        <v/>
      </c>
    </row>
    <row r="35" ht="15.0" customHeight="1">
      <c r="A35" s="2" t="str">
        <f>CountryMeta!A35</f>
        <v>United Kingdom</v>
      </c>
      <c r="B35" s="2" t="str">
        <f>CountryMeta!C35</f>
        <v>Europe &amp; Central Asia</v>
      </c>
      <c r="C35" s="2">
        <f>SUMIFS(Data!$K:$K,Data!$A:$A,$A35,Data!$C:$C,T2_EndYear)</f>
        <v>23.44</v>
      </c>
      <c r="D35" s="2" t="str">
        <f t="shared" si="1"/>
        <v/>
      </c>
      <c r="E35" s="2" t="str">
        <f t="shared" si="2"/>
        <v/>
      </c>
    </row>
    <row r="36" ht="15.0" customHeight="1">
      <c r="A36" s="2" t="str">
        <f>CountryMeta!A36</f>
        <v>United States</v>
      </c>
      <c r="B36" s="2" t="str">
        <f>CountryMeta!C36</f>
        <v>North America</v>
      </c>
      <c r="C36" s="2">
        <f>SUMIFS(Data!$K:$K,Data!$A:$A,$A36,Data!$C:$C,T2_EndYear)</f>
        <v>29.04</v>
      </c>
      <c r="D36" s="2" t="str">
        <f t="shared" si="1"/>
        <v/>
      </c>
      <c r="E36" s="2" t="str">
        <f t="shared" si="2"/>
        <v/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